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d.docs.live.net/c17976bd757f41d8/Desktop/EXCEL/ASSIGNMENT/"/>
    </mc:Choice>
  </mc:AlternateContent>
  <xr:revisionPtr revIDLastSave="553" documentId="11_F25DC773A252ABDACC1048A8915E7CE05BDE58E1" xr6:coauthVersionLast="47" xr6:coauthVersionMax="47" xr10:uidLastSave="{A6C72E59-FE6C-48D9-B264-A154C36E17E7}"/>
  <bookViews>
    <workbookView xWindow="-108" yWindow="-108" windowWidth="23256" windowHeight="12456" firstSheet="1" activeTab="7" xr2:uid="{00000000-000D-0000-FFFF-FFFF00000000}"/>
  </bookViews>
  <sheets>
    <sheet name="Question 1 " sheetId="1" r:id="rId1"/>
    <sheet name="Question 2" sheetId="3" r:id="rId2"/>
    <sheet name="Question 3" sheetId="4" r:id="rId3"/>
    <sheet name="Question 4" sheetId="6" r:id="rId4"/>
    <sheet name="Question 5" sheetId="7" r:id="rId5"/>
    <sheet name="Question 6" sheetId="8" r:id="rId6"/>
    <sheet name="QUESTION 7" sheetId="9" r:id="rId7"/>
    <sheet name="QUESTION 8"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10" l="1"/>
  <c r="D46" i="10"/>
  <c r="D26" i="10"/>
  <c r="D15" i="10"/>
  <c r="F51" i="9"/>
  <c r="F50" i="9"/>
  <c r="F49" i="9"/>
  <c r="G38" i="9"/>
  <c r="G29" i="9"/>
  <c r="G21" i="9"/>
  <c r="G14" i="9"/>
  <c r="D31" i="8"/>
  <c r="D22" i="8"/>
  <c r="D14" i="8"/>
  <c r="D46" i="8"/>
  <c r="D38" i="8"/>
  <c r="O35" i="4"/>
  <c r="N30" i="4"/>
  <c r="N22" i="4"/>
  <c r="N15" i="4"/>
  <c r="O8" i="4"/>
</calcChain>
</file>

<file path=xl/sharedStrings.xml><?xml version="1.0" encoding="utf-8"?>
<sst xmlns="http://schemas.openxmlformats.org/spreadsheetml/2006/main" count="376" uniqueCount="285">
  <si>
    <t>Q1.What is data cleaning ,and why is important in data analysis?</t>
  </si>
  <si>
    <t>Ans. Data cleaning (also called data cleansing) is the process of identifying and correcting or removing errors, inconsistencies, and inaccuracies in raw data so that it is accurate, complete, and ready for analysis.</t>
  </si>
  <si>
    <t>1.Improves accuracy of results</t>
  </si>
  <si>
    <t>Clean data ensures that analysis and conclusions are reliable and not misleading.</t>
  </si>
  <si>
    <t>2.Better decision-making</t>
  </si>
  <si>
    <t>Decisions based on incorrect data can lead to poor business or research outcomes.</t>
  </si>
  <si>
    <t>3.Saves time in the long run</t>
  </si>
  <si>
    <t>Clean data reduces errors during analysis, modeling, and reporting.</t>
  </si>
  <si>
    <t>4.Enhances data consistency</t>
  </si>
  <si>
    <t>Uniform data formats make analysis easier and more meaningful.</t>
  </si>
  <si>
    <t>5.Improves model performance</t>
  </si>
  <si>
    <t>In data science and machine learning, clean data leads to better predictive models.</t>
  </si>
  <si>
    <t>6.Builds trust in data</t>
  </si>
  <si>
    <t>Stakeholders are more confident in insights drawn from clean, high-quality data</t>
  </si>
  <si>
    <t xml:space="preserve">Ans. </t>
  </si>
  <si>
    <t>1. Incorrect Results and Conclusions</t>
  </si>
  <si>
    <t>Errors, duplicates, or missing values can distort analysis, leading to wrong insights and misleading conclusions.</t>
  </si>
  <si>
    <t>2. Poor Decision-Making</t>
  </si>
  <si>
    <t>Decisions based on faulty data may result in financial loss, operational inefficiency, or strategic failures.</t>
  </si>
  <si>
    <t>3. Biased Analysis</t>
  </si>
  <si>
    <t>Incomplete or inconsistent data can introduce bias, making results unfair or inaccurate.</t>
  </si>
  <si>
    <t>4. Reduced Data Reliability</t>
  </si>
  <si>
    <t>Stakeholders may lose trust in the analysis if results are inconsistent or frequently change.</t>
  </si>
  <si>
    <t>5. Wasted Time and Resources</t>
  </si>
  <si>
    <t>Extra time is spent fixing errors later or redoing the analysis, increasing costs and delays.</t>
  </si>
  <si>
    <t>6. Incompatibility Issues</t>
  </si>
  <si>
    <t>Different formats, units, or naming conventions can cause integration problems with other datasets or tools.</t>
  </si>
  <si>
    <t>7. Faulty Predictions and Forecasts</t>
  </si>
  <si>
    <t>Predictive models trained on messy data perform poorly and give unreliable forecasts.</t>
  </si>
  <si>
    <t>8. Compliance and Reporting Risks</t>
  </si>
  <si>
    <t>Inaccurate data can lead to incorrect reports, potentially violating regulations or standards.</t>
  </si>
  <si>
    <t>Conclusion:</t>
  </si>
  <si>
    <r>
      <t xml:space="preserve">Ans. Analyzing </t>
    </r>
    <r>
      <rPr>
        <b/>
        <sz val="11"/>
        <color theme="1"/>
        <rFont val="Calibri"/>
        <family val="2"/>
        <scheme val="minor"/>
      </rPr>
      <t>unclean or messy data</t>
    </r>
    <r>
      <rPr>
        <sz val="11"/>
        <color theme="1"/>
        <rFont val="Calibri"/>
        <family val="2"/>
        <scheme val="minor"/>
      </rPr>
      <t xml:space="preserve"> can lead to several serious problems. Some key potential consequences are:</t>
    </r>
  </si>
  <si>
    <t>Cleaning and organizing data involves a systematic process to ensure accuracy, consistency, and usability for analysis. The common steps are:</t>
  </si>
  <si>
    <t>1. Data Collection and Understanding</t>
  </si>
  <si>
    <t>Gather data from relevant sources and understand its structure, variables, and purpose.</t>
  </si>
  <si>
    <t>2. Handling Missing Values</t>
  </si>
  <si>
    <t>Identify missing data and decide how to handle it—by removing records, filling values (mean/median/mode), or using appropriate estimation methods.</t>
  </si>
  <si>
    <t>3. Removing Duplicate Data</t>
  </si>
  <si>
    <t>Detect and eliminate duplicate records to avoid double-counting and biased results.</t>
  </si>
  <si>
    <t>4. Correcting Errors and Inconsistencies</t>
  </si>
  <si>
    <t>Fix incorrect entries, spelling mistakes, incorrect dates, or inconsistent units (e.g., kg vs grams).</t>
  </si>
  <si>
    <t>5. Standardizing Data Formats</t>
  </si>
  <si>
    <t>Ensure consistent formats for dates, text (case sensitivity), numbers, and categories across the dataset.</t>
  </si>
  <si>
    <t>6. Outlier Detection and Treatment</t>
  </si>
  <si>
    <t>Identify unusually high or low values and decide whether to keep, adjust, or remove them based on context.</t>
  </si>
  <si>
    <t>7. Data Validation</t>
  </si>
  <si>
    <t>Check data against predefined rules (ranges, data types, logical relationships) to ensure accuracy.</t>
  </si>
  <si>
    <t>8. Data Transformation</t>
  </si>
  <si>
    <t>Convert data into a suitable form for analysis, such as normalization, categorization, or aggregation.</t>
  </si>
  <si>
    <t>9. Data Sorting and Organizing</t>
  </si>
  <si>
    <t>Arrange data logically (e.g., by date, category, or value) and structure it into tables or columns.</t>
  </si>
  <si>
    <t>10. Documentation</t>
  </si>
  <si>
    <t>Record all changes made during cleaning for transparency and future reference.</t>
  </si>
  <si>
    <t>Q1 (a). What are the potential consequences of analyzing unclean or messy data?</t>
  </si>
  <si>
    <t>Q.1(b) Explain the common steps involved in cleaning and organizing data.</t>
  </si>
  <si>
    <t>Q. 2</t>
  </si>
  <si>
    <t>How would you sort the following dataset first by "Department" (A-Z) and then by "Salary" (Largest to Smallest)? Write a step-by-step approach.</t>
  </si>
  <si>
    <t>Employee</t>
  </si>
  <si>
    <t xml:space="preserve">Department </t>
  </si>
  <si>
    <t xml:space="preserve">Salary </t>
  </si>
  <si>
    <t>Sonu</t>
  </si>
  <si>
    <t>IT</t>
  </si>
  <si>
    <t>Pranav</t>
  </si>
  <si>
    <t>HR</t>
  </si>
  <si>
    <t>Rahul</t>
  </si>
  <si>
    <t>Ans.</t>
  </si>
  <si>
    <t xml:space="preserve">Step 1 - </t>
  </si>
  <si>
    <t xml:space="preserve">Select the column </t>
  </si>
  <si>
    <t>Step - 2</t>
  </si>
  <si>
    <t xml:space="preserve">Step 3 - </t>
  </si>
  <si>
    <t xml:space="preserve">Step - 4 </t>
  </si>
  <si>
    <t>Click on sort</t>
  </si>
  <si>
    <t xml:space="preserve">Sort by , sort on , Order  </t>
  </si>
  <si>
    <t xml:space="preserve">Step - 5 </t>
  </si>
  <si>
    <t>it will show a sorting table with options like Sort by, sort on , Order</t>
  </si>
  <si>
    <t xml:space="preserve">Sorting Salary </t>
  </si>
  <si>
    <t>the Steps are similar for Salary column as well till step 4</t>
  </si>
  <si>
    <t>Step - 5</t>
  </si>
  <si>
    <t>After selecting the column you want to Sort -&gt;go to Data Tab menu.</t>
  </si>
  <si>
    <t>you will find Sort option -&gt; in the Sort and Filter group under Data Tab</t>
  </si>
  <si>
    <t xml:space="preserve">Select DEPARTMENT column in sort by "Cell Values" on sort on option and Order  (A-Z) and click okay and you your column is sorted </t>
  </si>
  <si>
    <t xml:space="preserve">After selecting the column you want to Sort go to Data in Tab menu. </t>
  </si>
  <si>
    <t>you will find Sort option  in the Sort and Filter group under Data Tab</t>
  </si>
  <si>
    <t xml:space="preserve">Select Salary column in sort by , and value on sort by and in Order select "Largest to Smallest" </t>
  </si>
  <si>
    <t>Sorting Department</t>
  </si>
  <si>
    <t>Text functions in Excel are used to clean, extract, correct, and combine text data so it becomes consistent and analysis-ready.</t>
  </si>
  <si>
    <t xml:space="preserve">Example </t>
  </si>
  <si>
    <t>trim</t>
  </si>
  <si>
    <t>*  Extra spaces a the start</t>
  </si>
  <si>
    <t>* Multiple spaces between words(keeps only one)</t>
  </si>
  <si>
    <t>as you can see in the example trim removed the extra spaces</t>
  </si>
  <si>
    <t>2. LEFT() – Extract text from the left</t>
  </si>
  <si>
    <t>Example</t>
  </si>
  <si>
    <t>Left</t>
  </si>
  <si>
    <t>*  Extracts a specified number of characters from the beginning of text.</t>
  </si>
  <si>
    <t>*  pass the function left (cell you want to extract characters from, number of character you want to extract)</t>
  </si>
  <si>
    <t>*  useful - Useful for extracting codes, country prefixes, initials</t>
  </si>
  <si>
    <t>3. RIGHT() – Extract text from the right</t>
  </si>
  <si>
    <t>Right</t>
  </si>
  <si>
    <t>*  Extracts characters from the end of text (from right end)</t>
  </si>
  <si>
    <t>*  similar to left() function right() function extracts the characters from the right end side</t>
  </si>
  <si>
    <t>*  useful - Used to extract year, suffix, last digits</t>
  </si>
  <si>
    <t>4. MID() – Extract text from the middle</t>
  </si>
  <si>
    <t>*  Extracts text from any position in the string.</t>
  </si>
  <si>
    <t>mid</t>
  </si>
  <si>
    <t>*  Useful - Helpful when text follows a fixed pattern</t>
  </si>
  <si>
    <t>5. CONCAT() – Combine text values</t>
  </si>
  <si>
    <t>char1</t>
  </si>
  <si>
    <t>char2</t>
  </si>
  <si>
    <t>Concated</t>
  </si>
  <si>
    <t>*  Joins multiple text values into one string.</t>
  </si>
  <si>
    <t>*  Useful - Creating full names, combining spli columns</t>
  </si>
  <si>
    <t>Anshika    gupta</t>
  </si>
  <si>
    <t>1. TRIM() – Remove extra spaces</t>
  </si>
  <si>
    <t>*  Extra spaces at the end</t>
  </si>
  <si>
    <t>Anshika</t>
  </si>
  <si>
    <t>*   Formula =left(M:15,4)</t>
  </si>
  <si>
    <t>anshika</t>
  </si>
  <si>
    <t>*  Formula = right(M22, 3)</t>
  </si>
  <si>
    <t xml:space="preserve">*  Formula =MID(M31,3,4) </t>
  </si>
  <si>
    <t>Gupta</t>
  </si>
  <si>
    <t>*  Formula = CONCAT(M35,N35)</t>
  </si>
  <si>
    <t>Q3. Explain the use of text functions such as TRIM , LEFT, RIGHT, MID, and CONCAT in data cleaning.</t>
  </si>
  <si>
    <t>Q4.What is the role of date functions like TODAY in managing datasets?</t>
  </si>
  <si>
    <t>•</t>
  </si>
  <si>
    <t>1. Automatic Current Date</t>
  </si>
  <si>
    <r>
      <t xml:space="preserve">The </t>
    </r>
    <r>
      <rPr>
        <sz val="10"/>
        <color theme="1"/>
        <rFont val="Arial Unicode MS"/>
      </rPr>
      <t>TODAY()</t>
    </r>
    <r>
      <rPr>
        <sz val="11"/>
        <color theme="1"/>
        <rFont val="Calibri"/>
        <family val="2"/>
        <scheme val="minor"/>
      </rPr>
      <t xml:space="preserve"> function returns the current system date automatically, ensuring data stays updated without manual entry.</t>
    </r>
  </si>
  <si>
    <t>2. Tracking Timelines and Deadlines</t>
  </si>
  <si>
    <t>Helps calculate due dates, deadlines, and delays when combined with other date formulas.</t>
  </si>
  <si>
    <t>3. Age and Duration Calculations</t>
  </si>
  <si>
    <r>
      <t xml:space="preserve">Used to calculate age, tenure, or time gaps (e.g., </t>
    </r>
    <r>
      <rPr>
        <sz val="10"/>
        <color theme="1"/>
        <rFont val="Arial Unicode MS"/>
      </rPr>
      <t>TODAY() - Start_Date</t>
    </r>
    <r>
      <rPr>
        <sz val="11"/>
        <color theme="1"/>
        <rFont val="Calibri"/>
        <family val="2"/>
        <scheme val="minor"/>
      </rPr>
      <t>).</t>
    </r>
  </si>
  <si>
    <t>4. Dynamic Reports</t>
  </si>
  <si>
    <t>Ensures reports always reflect the latest date, useful in dashboards and daily reports.</t>
  </si>
  <si>
    <t>5. Data Validation and Monitoring</t>
  </si>
  <si>
    <t>Helps check whether dates are overdue, upcoming, or completed.</t>
  </si>
  <si>
    <t>6. Reducing Manual Errors</t>
  </si>
  <si>
    <t>Eliminates mistakes caused by manually entering today’s date.</t>
  </si>
  <si>
    <r>
      <t xml:space="preserve">Date functions like </t>
    </r>
    <r>
      <rPr>
        <sz val="10"/>
        <color theme="1"/>
        <rFont val="Arial Unicode MS"/>
      </rPr>
      <t>TODAY()</t>
    </r>
    <r>
      <rPr>
        <sz val="11"/>
        <color theme="1"/>
        <rFont val="Calibri"/>
        <family val="2"/>
        <scheme val="minor"/>
      </rPr>
      <t xml:space="preserve"> make datasets dynamic, accurate, and efficient by automatically managing current-date-based calculations and analysis.</t>
    </r>
  </si>
  <si>
    <r>
      <t xml:space="preserve">Ans. Date functions such as </t>
    </r>
    <r>
      <rPr>
        <b/>
        <sz val="11"/>
        <color theme="1"/>
        <rFont val="Calibri"/>
        <family val="2"/>
        <scheme val="minor"/>
      </rPr>
      <t>TODAY</t>
    </r>
    <r>
      <rPr>
        <sz val="11"/>
        <color theme="1"/>
        <rFont val="Calibri"/>
        <family val="2"/>
        <scheme val="minor"/>
      </rPr>
      <t xml:space="preserve"> play an important role in managing and analyzing datasets by providing dynamic, up-to-date date information. Their roles include:</t>
    </r>
  </si>
  <si>
    <t>Q.5</t>
  </si>
  <si>
    <t>Apply Data Validation to restrict Quantity values to only whole numbers between 1 and 10.</t>
  </si>
  <si>
    <t>a)   Configure an input message that appears when a user selects a cell in the "Quantity" column explaining:_x000B_ "Please enter a whole number between 1 and 10."</t>
  </si>
  <si>
    <t>b)  Set up an error alert message that triggers if the user enters a number less than 1 or greater than 10,
showing:</t>
  </si>
  <si>
    <t>"Invalid input! The quantity must be a whole number between 1 and 10."</t>
  </si>
  <si>
    <t>Write a step-by-step approach for this question</t>
  </si>
  <si>
    <t xml:space="preserve">Customer Name </t>
  </si>
  <si>
    <t>Product Name</t>
  </si>
  <si>
    <t>Category</t>
  </si>
  <si>
    <t>Quantity</t>
  </si>
  <si>
    <t>Unit Price($)</t>
  </si>
  <si>
    <t>Jane Smith</t>
  </si>
  <si>
    <t>Shoes</t>
  </si>
  <si>
    <t>Electronics</t>
  </si>
  <si>
    <t>Isabella Moore</t>
  </si>
  <si>
    <t>Laptop</t>
  </si>
  <si>
    <t>Daniel Davis</t>
  </si>
  <si>
    <t>Sofa</t>
  </si>
  <si>
    <t>Clothing</t>
  </si>
  <si>
    <t>Alex Moore</t>
  </si>
  <si>
    <t>Michael Johnson</t>
  </si>
  <si>
    <t>Table Lamp</t>
  </si>
  <si>
    <t>Home Décor</t>
  </si>
  <si>
    <t>Daniel johnson</t>
  </si>
  <si>
    <t>Backpack</t>
  </si>
  <si>
    <t>Isabella Davis</t>
  </si>
  <si>
    <t>Headphones</t>
  </si>
  <si>
    <t>Jane Davis</t>
  </si>
  <si>
    <t>Alex Wilson</t>
  </si>
  <si>
    <t>T-shirt</t>
  </si>
  <si>
    <t>Ans</t>
  </si>
  <si>
    <t>The step-by-step procedure:</t>
  </si>
  <si>
    <t>1.Select the cells under the Quantity column where you want to apply validation.</t>
  </si>
  <si>
    <t>2.Go to the Data tab on the Ribbon.</t>
  </si>
  <si>
    <t>3.Click Data Validation → Data Validation…</t>
  </si>
  <si>
    <t>4.In the Settings tab:</t>
  </si>
  <si>
    <t>Set Allow to Whole number.</t>
  </si>
  <si>
    <t>Set Data to between.</t>
  </si>
  <si>
    <t>Enter Minimum = 1 and Maximum = 10.</t>
  </si>
  <si>
    <t>5.In the Input Message tab:</t>
  </si>
  <si>
    <t>Check Show input message when cell is selected.</t>
  </si>
  <si>
    <t>Enter the message: “Please enter a whole number between 1 and 10.”</t>
  </si>
  <si>
    <t>6.In the Error Alert tab:</t>
  </si>
  <si>
    <t>Set Style to Stop.</t>
  </si>
  <si>
    <t>Title: “Invalid input!”</t>
  </si>
  <si>
    <t>Error message: “The quantity must be a whole number between 1 and 10.”</t>
  </si>
  <si>
    <t>7.Click OK to apply the settings.</t>
  </si>
  <si>
    <t>8.Test the rule by trying to enter values below 1 or above 10.</t>
  </si>
  <si>
    <t xml:space="preserve">Q.6 Understand and apply fundamental text functions like LEFT, RIGHT, MID, and LEN. </t>
  </si>
  <si>
    <t>a.	Extract the first 5 characters from the string "ExcelTipsAreGreat" using the LEFT function</t>
  </si>
  <si>
    <t>b.	Extract the last 4 characters from "DataAnalysis.xlsx" using the RIGHT function.</t>
  </si>
  <si>
    <t xml:space="preserve">c.Extract the substring "Tips" from "ExcelTipsAreGreat" using the MID function. </t>
  </si>
  <si>
    <t xml:space="preserve">d.	Count the total number of characters in the string "Hello World!" using the LEN function. </t>
  </si>
  <si>
    <t>e.	Create a formula to extract the middle 6 characters from "12345-67890-ABCDE".</t>
  </si>
  <si>
    <t>a). Extract the first 5 characters from the string "ExcelTipsAreGreat" using the LEFT function.</t>
  </si>
  <si>
    <t>Solution</t>
  </si>
  <si>
    <t>5 characters from above string</t>
  </si>
  <si>
    <t>b. Extract the last 4 characters from "DataAnalysis.xlsx" using the RIGHT function.</t>
  </si>
  <si>
    <t xml:space="preserve">String = </t>
  </si>
  <si>
    <t>DataAnalysis.xlsx</t>
  </si>
  <si>
    <t xml:space="preserve">solution  </t>
  </si>
  <si>
    <t>c. Extract the substring "Tips" from "ExcelTipsAreGreat" using the MID function.</t>
  </si>
  <si>
    <t xml:space="preserve">String= </t>
  </si>
  <si>
    <t>ExcelTipsAreGreat</t>
  </si>
  <si>
    <t>d. Count the total number of characters in the string "Hello World!" using the LEN function.</t>
  </si>
  <si>
    <t>Hello World!</t>
  </si>
  <si>
    <t>solution</t>
  </si>
  <si>
    <t>e. Ceate a formula to extract the middle characters from "12345-67890-ABCDE".</t>
  </si>
  <si>
    <t>12345-67890-ABCDE</t>
  </si>
  <si>
    <t>Formula  =LEFT(D13,5)</t>
  </si>
  <si>
    <t>String</t>
  </si>
  <si>
    <t>Formula =   =RIGHT(D20,4)</t>
  </si>
  <si>
    <t>Fromula  =MID(D28,6,4)</t>
  </si>
  <si>
    <t>FORMULA =LEN(D36)</t>
  </si>
  <si>
    <t>FORMULA =MID(C44,7,5)</t>
  </si>
  <si>
    <t xml:space="preserve">Q.7 Understand how to combine text using CONCAT, TEXTJOIN, and the &amp; operator. </t>
  </si>
  <si>
    <t>a.Use CONCAT to combine "Hello" and "World" with a space in between.</t>
  </si>
  <si>
    <t>b.Combine "Apple", "Banana", and "Cherry" into a single string separated by commas using TEXTJOIN.</t>
  </si>
  <si>
    <t>c.Use the &amp; operator to create the string "2025: Excel Functions" by combining "2025", ": ", and "Excel Functions".</t>
  </si>
  <si>
    <t xml:space="preserve">d.Create a comma-separated list from the range A1:A5 using TEXTJOIN </t>
  </si>
  <si>
    <t>e.Combine first names in column A with last names in column B to create full names in column C.</t>
  </si>
  <si>
    <t>A) .Use CONCAT to combine "Hello" and "World" with a space in between.</t>
  </si>
  <si>
    <t>Hello</t>
  </si>
  <si>
    <t>World</t>
  </si>
  <si>
    <t>formula  =CONCAT(D14," ",E14)</t>
  </si>
  <si>
    <t>B) .Combine "Apple", "Banana", and "Cherry" into a single string separated by commas using TEXTJOIN.</t>
  </si>
  <si>
    <t>Apple</t>
  </si>
  <si>
    <t xml:space="preserve">Banana </t>
  </si>
  <si>
    <t>Cherry</t>
  </si>
  <si>
    <t>Formula  =TEXTJOIN(" ,",TRUE,D21:F21)</t>
  </si>
  <si>
    <t>C).Use the &amp; operator to create the string "2025: Excel Functions" by combining "2025", ": ", and "Excel Functions".</t>
  </si>
  <si>
    <t>Excel Functions</t>
  </si>
  <si>
    <t>Formula  =E29&amp;":"&amp;F29</t>
  </si>
  <si>
    <t>D).. Create a comma-seperated list from the range A1:A5 using TEXTJOIN.</t>
  </si>
  <si>
    <t>Alice</t>
  </si>
  <si>
    <t>Tonya</t>
  </si>
  <si>
    <t>Porsha</t>
  </si>
  <si>
    <t>Rave</t>
  </si>
  <si>
    <t>Engris</t>
  </si>
  <si>
    <t>Formula  =TEXTJOIN(",",TRUE,E37:E41)</t>
  </si>
  <si>
    <t>E). Combine first names in column A with last names in column B to create full names in column C.</t>
  </si>
  <si>
    <t xml:space="preserve"> First Name</t>
  </si>
  <si>
    <t>Last Name</t>
  </si>
  <si>
    <t>Full Name</t>
  </si>
  <si>
    <t>Aman</t>
  </si>
  <si>
    <t>Kumar</t>
  </si>
  <si>
    <t>Watson</t>
  </si>
  <si>
    <t>Nobu</t>
  </si>
  <si>
    <t>Naga</t>
  </si>
  <si>
    <t>FORMULA=CONCAT(D49," ",E49)</t>
  </si>
  <si>
    <t>FORMULA=CONCAT(D50," ",E50)</t>
  </si>
  <si>
    <t>FORMULA=CONCAT(D51," ",E51)</t>
  </si>
  <si>
    <t>FORMULA</t>
  </si>
  <si>
    <t xml:space="preserve">Q.8 Understanding TODAY() and NOW()  </t>
  </si>
  <si>
    <t xml:space="preserve">a. What is the difference between TODAY() and NOW() in Excel? Provide an example of when you would use each function. </t>
  </si>
  <si>
    <t>b. If cell A1 contains the date 2025-06-10, write a formula using TODAY() to determine how many days are left until that date</t>
  </si>
  <si>
    <t>c. Write an Excel formula using NOW() to display the current date and time in the format MM/DD/YYYY HH:MM AM/PM. ́</t>
  </si>
  <si>
    <t>d. If a cell contains =TODAY(), what will happen when the worksheet is reopened the next day? Explain.</t>
  </si>
  <si>
    <t>e. You want to store a static date (today’s date) in a cell without it changing every day. What keyboard shortcut should you use?</t>
  </si>
  <si>
    <t>Today()</t>
  </si>
  <si>
    <t>*  Returns only the current date</t>
  </si>
  <si>
    <t>*  No time component</t>
  </si>
  <si>
    <t>*  format  dd-mm-yyy (or your system date format)</t>
  </si>
  <si>
    <t>Example -</t>
  </si>
  <si>
    <t xml:space="preserve">Use cases </t>
  </si>
  <si>
    <t xml:space="preserve"> *  in  Due date Tracking</t>
  </si>
  <si>
    <t>Formula  =IF(A2&lt;TODAY(),"overdue","On time")</t>
  </si>
  <si>
    <t>*  For sales reports</t>
  </si>
  <si>
    <t>Now()</t>
  </si>
  <si>
    <t>*  Returns current date + current time</t>
  </si>
  <si>
    <t>* Format: dd-mm-yyyy hh:mm:ss</t>
  </si>
  <si>
    <t>Use cases</t>
  </si>
  <si>
    <t>*  Login / timestamp tracking</t>
  </si>
  <si>
    <t>*  Elapsed time calculation</t>
  </si>
  <si>
    <t>*  Deadline with time</t>
  </si>
  <si>
    <t>Formula =IF(NOW() &gt; A2, "Missed Deadline", "Within Time")</t>
  </si>
  <si>
    <t xml:space="preserve">Both functions are volatile; they update every time the worksheet recalculates (e.g., opening the file or entering data). </t>
  </si>
  <si>
    <t>B) . If cell A1 contains the date 2025-06-10, write a formula using TODAY() to determine how many days are left until that date</t>
  </si>
  <si>
    <t>C) . Write an Excel formula using NOW() to display the current date and time in the format MM/DD/YYYY HH:MM AM/PM. ́</t>
  </si>
  <si>
    <t>D) . If a cell contains =TODAY(), what will happen when the worksheet is reopened the next day? Explain</t>
  </si>
  <si>
    <t>When a cell in a spreadsheet contains the formula =TODAY(), the displayed value will automatically update to reflect the current date each time the workbook is opened or recalculated.</t>
  </si>
  <si>
    <t>E)  . You want to store a static date (today’s date) in a cell without it changing every day. What keyboard shortcut should you use?</t>
  </si>
  <si>
    <t>To store a static, non-updating date (today's date) in an Excel cell, use the shortcut Ctrl + ; (semicolon)</t>
  </si>
  <si>
    <t>FORMULA=TODAY()</t>
  </si>
  <si>
    <t>FORMULA=D41-TODAY()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</si>
</sst>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d/mm/yyyy\ hh:mm\ AM/PM"/>
  </numFmts>
  <fonts count="13">
    <font>
      <sz val="11"/>
      <color theme="1"/>
      <name val="Calibri"/>
      <family val="2"/>
      <scheme val="minor"/>
    </font>
    <font>
      <b/>
      <sz val="11"/>
      <color theme="1"/>
      <name val="Calibri"/>
      <family val="2"/>
      <scheme val="minor"/>
    </font>
    <font>
      <sz val="14"/>
      <color theme="1"/>
      <name val="Arial Rounded MT Bold"/>
      <family val="2"/>
    </font>
    <font>
      <sz val="11"/>
      <color theme="1"/>
      <name val="Arial Rounded MT Bold"/>
      <family val="2"/>
    </font>
    <font>
      <b/>
      <sz val="12"/>
      <color theme="1"/>
      <name val="Calibri"/>
      <family val="2"/>
      <scheme val="minor"/>
    </font>
    <font>
      <sz val="12"/>
      <color theme="1"/>
      <name val="Calibri"/>
      <family val="2"/>
      <scheme val="minor"/>
    </font>
    <font>
      <sz val="16"/>
      <color theme="1"/>
      <name val="Calibri"/>
      <family val="2"/>
      <scheme val="minor"/>
    </font>
    <font>
      <sz val="14"/>
      <color theme="1"/>
      <name val="Calibri"/>
      <family val="2"/>
      <scheme val="minor"/>
    </font>
    <font>
      <b/>
      <sz val="18"/>
      <color theme="1"/>
      <name val="Calibri"/>
      <family val="2"/>
      <scheme val="minor"/>
    </font>
    <font>
      <sz val="10"/>
      <color theme="1"/>
      <name val="Arial Unicode MS"/>
    </font>
    <font>
      <sz val="18"/>
      <color theme="1"/>
      <name val="Calibri"/>
      <family val="2"/>
      <scheme val="minor"/>
    </font>
    <font>
      <b/>
      <sz val="14"/>
      <color theme="1"/>
      <name val="Calibri"/>
      <family val="2"/>
      <scheme val="minor"/>
    </font>
    <font>
      <sz val="11"/>
      <name val="Calibri"/>
      <family val="2"/>
      <scheme val="minor"/>
    </font>
  </fonts>
  <fills count="18">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3" tint="0.59999389629810485"/>
        <bgColor indexed="64"/>
      </patternFill>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95">
    <xf numFmtId="0" fontId="0" fillId="0" borderId="0" xfId="0"/>
    <xf numFmtId="0" fontId="1" fillId="0" borderId="0" xfId="0" applyFont="1" applyAlignment="1">
      <alignment horizontal="left" vertical="top"/>
    </xf>
    <xf numFmtId="0" fontId="0" fillId="0" borderId="0" xfId="0" applyAlignment="1">
      <alignment horizontal="left" vertical="top"/>
    </xf>
    <xf numFmtId="0" fontId="1" fillId="0" borderId="0" xfId="0" applyFont="1"/>
    <xf numFmtId="0" fontId="0" fillId="2" borderId="0" xfId="0" applyFill="1"/>
    <xf numFmtId="0" fontId="1" fillId="0" borderId="0" xfId="0" applyFont="1" applyAlignment="1">
      <alignment horizontal="left" vertical="center" indent="1"/>
    </xf>
    <xf numFmtId="0" fontId="0" fillId="2" borderId="0" xfId="0" applyFill="1" applyAlignment="1">
      <alignment horizontal="left" vertical="top"/>
    </xf>
    <xf numFmtId="0" fontId="1" fillId="2" borderId="0" xfId="0" applyFont="1" applyFill="1" applyAlignment="1">
      <alignment horizontal="left" vertical="center" indent="1"/>
    </xf>
    <xf numFmtId="0" fontId="0" fillId="2" borderId="0" xfId="0" applyFill="1" applyAlignment="1">
      <alignment horizontal="left" vertical="center" indent="1"/>
    </xf>
    <xf numFmtId="0" fontId="1" fillId="2" borderId="0" xfId="0" applyFont="1" applyFill="1" applyAlignment="1">
      <alignment horizontal="left" vertical="top"/>
    </xf>
    <xf numFmtId="0" fontId="2" fillId="3" borderId="0" xfId="0" applyFont="1" applyFill="1"/>
    <xf numFmtId="0" fontId="3" fillId="3" borderId="0" xfId="0" applyFont="1" applyFill="1"/>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0" fillId="0" borderId="0" xfId="0" applyAlignment="1">
      <alignment horizontal="left" vertical="center" indent="2"/>
    </xf>
    <xf numFmtId="0" fontId="5" fillId="0" borderId="0" xfId="0" applyFont="1"/>
    <xf numFmtId="0" fontId="6" fillId="5" borderId="0" xfId="0" applyFont="1" applyFill="1"/>
    <xf numFmtId="0" fontId="0" fillId="5" borderId="0" xfId="0" applyFill="1"/>
    <xf numFmtId="0" fontId="7" fillId="0" borderId="0" xfId="0" applyFont="1"/>
    <xf numFmtId="0" fontId="5" fillId="2" borderId="0" xfId="0" applyFont="1" applyFill="1"/>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0" xfId="0" applyFont="1" applyFill="1" applyAlignment="1"/>
    <xf numFmtId="0" fontId="6" fillId="2" borderId="0" xfId="0" applyFont="1" applyFill="1"/>
    <xf numFmtId="0" fontId="7" fillId="2" borderId="0" xfId="0" applyFont="1" applyFill="1"/>
    <xf numFmtId="0" fontId="6" fillId="6" borderId="0" xfId="0" applyFont="1" applyFill="1"/>
    <xf numFmtId="0" fontId="5" fillId="7" borderId="0" xfId="0" applyFont="1" applyFill="1"/>
    <xf numFmtId="0" fontId="0" fillId="0" borderId="0" xfId="0" applyFill="1"/>
    <xf numFmtId="0" fontId="8" fillId="0" borderId="0" xfId="0" applyFont="1"/>
    <xf numFmtId="0" fontId="0" fillId="9" borderId="0" xfId="0" applyFill="1"/>
    <xf numFmtId="0" fontId="6" fillId="9" borderId="0" xfId="0" applyFont="1" applyFill="1"/>
    <xf numFmtId="0" fontId="7" fillId="9" borderId="0" xfId="0" applyFont="1" applyFill="1"/>
    <xf numFmtId="0" fontId="5" fillId="9" borderId="5" xfId="0" applyFont="1" applyFill="1" applyBorder="1" applyAlignment="1">
      <alignment horizontal="center" vertical="center"/>
    </xf>
    <xf numFmtId="0" fontId="5" fillId="9" borderId="0" xfId="0" applyFont="1" applyFill="1" applyBorder="1" applyAlignment="1">
      <alignment horizontal="center" vertical="center"/>
    </xf>
    <xf numFmtId="0" fontId="5" fillId="9" borderId="0" xfId="0" applyFont="1" applyFill="1"/>
    <xf numFmtId="0" fontId="0" fillId="9" borderId="5" xfId="0" applyFill="1" applyBorder="1"/>
    <xf numFmtId="0" fontId="0" fillId="9" borderId="0" xfId="0" applyFill="1" applyBorder="1"/>
    <xf numFmtId="0" fontId="5" fillId="9" borderId="0" xfId="0" applyFont="1" applyFill="1" applyAlignment="1">
      <alignment horizontal="center" vertical="center"/>
    </xf>
    <xf numFmtId="0" fontId="4" fillId="0" borderId="5" xfId="0" applyFont="1" applyBorder="1" applyAlignment="1">
      <alignment horizontal="center" vertical="center"/>
    </xf>
    <xf numFmtId="0" fontId="5" fillId="0" borderId="5" xfId="0" applyFont="1" applyBorder="1" applyAlignment="1">
      <alignment horizontal="center" vertical="center"/>
    </xf>
    <xf numFmtId="0" fontId="10" fillId="10" borderId="0" xfId="0" applyFont="1" applyFill="1"/>
    <xf numFmtId="0" fontId="7" fillId="11" borderId="0" xfId="0" applyFont="1" applyFill="1"/>
    <xf numFmtId="0" fontId="0" fillId="11" borderId="0" xfId="0" applyFill="1"/>
    <xf numFmtId="0" fontId="7" fillId="12" borderId="0" xfId="0" applyFont="1" applyFill="1"/>
    <xf numFmtId="0" fontId="7" fillId="8" borderId="0" xfId="0" applyFont="1" applyFill="1"/>
    <xf numFmtId="0" fontId="6" fillId="9" borderId="0" xfId="0" applyFont="1" applyFill="1" applyAlignment="1">
      <alignment horizontal="center"/>
    </xf>
    <xf numFmtId="0" fontId="7" fillId="13" borderId="0" xfId="0" applyFont="1" applyFill="1"/>
    <xf numFmtId="0" fontId="0" fillId="13" borderId="0" xfId="0" applyFill="1"/>
    <xf numFmtId="0" fontId="10" fillId="6" borderId="0" xfId="0" applyFont="1" applyFill="1"/>
    <xf numFmtId="0" fontId="6" fillId="0" borderId="0" xfId="0" applyFont="1"/>
    <xf numFmtId="0" fontId="6" fillId="14" borderId="0" xfId="0" applyFont="1" applyFill="1"/>
    <xf numFmtId="0" fontId="5" fillId="10" borderId="0" xfId="0" applyFont="1" applyFill="1"/>
    <xf numFmtId="0" fontId="7" fillId="10" borderId="0" xfId="0" applyFont="1" applyFill="1"/>
    <xf numFmtId="0" fontId="0" fillId="0" borderId="0" xfId="0" applyAlignment="1">
      <alignment horizontal="center" vertical="center"/>
    </xf>
    <xf numFmtId="0" fontId="11" fillId="0" borderId="0" xfId="0" applyFont="1"/>
    <xf numFmtId="0" fontId="12" fillId="10" borderId="0" xfId="0" applyFont="1" applyFill="1"/>
    <xf numFmtId="0" fontId="0" fillId="10" borderId="0" xfId="0" applyFill="1"/>
    <xf numFmtId="0" fontId="0" fillId="7" borderId="0" xfId="0" applyFill="1"/>
    <xf numFmtId="0" fontId="4" fillId="4" borderId="0" xfId="0" applyFont="1" applyFill="1"/>
    <xf numFmtId="0" fontId="5" fillId="4" borderId="0" xfId="0" applyFont="1" applyFill="1"/>
    <xf numFmtId="0" fontId="5" fillId="0" borderId="5" xfId="0" applyFont="1" applyBorder="1"/>
    <xf numFmtId="0" fontId="0" fillId="4" borderId="0" xfId="0" applyFill="1"/>
    <xf numFmtId="0" fontId="5" fillId="0" borderId="5" xfId="0" applyFont="1" applyBorder="1" applyAlignment="1">
      <alignment horizontal="center"/>
    </xf>
    <xf numFmtId="0" fontId="5" fillId="12" borderId="10" xfId="0" applyFont="1" applyFill="1" applyBorder="1" applyAlignment="1">
      <alignment horizontal="center" vertical="center"/>
    </xf>
    <xf numFmtId="0" fontId="5" fillId="12" borderId="11" xfId="0" applyFont="1" applyFill="1" applyBorder="1" applyAlignment="1">
      <alignment horizontal="center" vertical="center"/>
    </xf>
    <xf numFmtId="0" fontId="5" fillId="10" borderId="5" xfId="0" applyFont="1" applyFill="1" applyBorder="1"/>
    <xf numFmtId="0" fontId="5" fillId="12" borderId="12" xfId="0" applyFont="1" applyFill="1" applyBorder="1" applyAlignment="1">
      <alignment horizontal="center" vertical="center"/>
    </xf>
    <xf numFmtId="0" fontId="1" fillId="10" borderId="5" xfId="0" applyFont="1" applyFill="1" applyBorder="1" applyAlignment="1">
      <alignment horizontal="center" vertical="center"/>
    </xf>
    <xf numFmtId="0" fontId="0" fillId="10" borderId="5" xfId="0" applyFill="1" applyBorder="1" applyAlignment="1">
      <alignment horizontal="center" vertical="center"/>
    </xf>
    <xf numFmtId="0" fontId="1" fillId="10" borderId="0" xfId="0" applyFont="1" applyFill="1" applyBorder="1" applyAlignment="1">
      <alignment horizontal="center" vertical="center"/>
    </xf>
    <xf numFmtId="0" fontId="7" fillId="15" borderId="0" xfId="0" applyFont="1" applyFill="1"/>
    <xf numFmtId="0" fontId="0" fillId="15" borderId="0" xfId="0" applyFill="1"/>
    <xf numFmtId="22" fontId="0" fillId="0" borderId="0" xfId="0" applyNumberFormat="1"/>
    <xf numFmtId="14" fontId="0" fillId="0" borderId="0" xfId="0" applyNumberFormat="1"/>
    <xf numFmtId="0" fontId="6" fillId="16" borderId="0" xfId="0" applyFont="1" applyFill="1"/>
    <xf numFmtId="0" fontId="1" fillId="17" borderId="0" xfId="0" applyFont="1" applyFill="1"/>
    <xf numFmtId="0" fontId="0" fillId="17" borderId="0" xfId="0" applyFill="1"/>
    <xf numFmtId="0" fontId="11" fillId="4" borderId="0" xfId="0" applyFont="1" applyFill="1"/>
    <xf numFmtId="14" fontId="0" fillId="0" borderId="5" xfId="0" applyNumberFormat="1" applyBorder="1"/>
    <xf numFmtId="168" fontId="0" fillId="10" borderId="0" xfId="0" applyNumberFormat="1" applyFill="1"/>
    <xf numFmtId="0" fontId="0" fillId="1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98F8303-4981-4CD2-ABB0-0809B7104362}">
  <we:reference id="wa200006007" version="1.2.3.0" store="en-US" storeType="OMEX"/>
  <we:alternateReferences>
    <we:reference id="wa200006007" version="1.2.3.0" store="wa200006007"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_xldudf_COPILOTR2</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2"/>
  <sheetViews>
    <sheetView topLeftCell="A44" workbookViewId="0">
      <selection activeCell="E65" sqref="E65"/>
    </sheetView>
  </sheetViews>
  <sheetFormatPr defaultRowHeight="14.4"/>
  <cols>
    <col min="1" max="16384" width="8.88671875" style="2"/>
  </cols>
  <sheetData>
    <row r="1" spans="1:20">
      <c r="A1" s="1" t="s">
        <v>0</v>
      </c>
      <c r="B1" s="1"/>
      <c r="C1" s="1"/>
      <c r="D1" s="1"/>
      <c r="E1" s="1"/>
      <c r="F1" s="1"/>
      <c r="G1" s="1"/>
    </row>
    <row r="2" spans="1:20">
      <c r="A2" s="1"/>
      <c r="B2" s="1"/>
      <c r="C2" s="1"/>
      <c r="D2" s="1"/>
      <c r="E2" s="1"/>
      <c r="F2" s="1"/>
      <c r="G2" s="1"/>
    </row>
    <row r="3" spans="1:20">
      <c r="A3" s="6" t="s">
        <v>1</v>
      </c>
      <c r="B3" s="6"/>
      <c r="C3" s="6"/>
      <c r="D3" s="6"/>
      <c r="E3" s="6"/>
      <c r="F3" s="6"/>
      <c r="G3" s="6"/>
      <c r="H3" s="6"/>
      <c r="I3" s="6"/>
      <c r="J3" s="6"/>
      <c r="K3" s="6"/>
      <c r="L3" s="6"/>
      <c r="M3" s="6"/>
      <c r="N3" s="6"/>
      <c r="O3" s="6"/>
      <c r="P3" s="6"/>
      <c r="Q3" s="6"/>
      <c r="R3" s="6"/>
      <c r="S3" s="6"/>
      <c r="T3" s="6"/>
    </row>
    <row r="4" spans="1:20">
      <c r="A4" s="9" t="s">
        <v>2</v>
      </c>
      <c r="B4" s="9"/>
      <c r="C4" s="9"/>
      <c r="D4" s="6"/>
      <c r="E4" s="6"/>
      <c r="F4" s="6"/>
      <c r="G4" s="6"/>
      <c r="H4" s="6"/>
      <c r="I4" s="6"/>
      <c r="J4" s="6"/>
      <c r="K4" s="6"/>
      <c r="L4" s="6"/>
      <c r="M4" s="6"/>
      <c r="N4" s="6"/>
      <c r="O4" s="6"/>
      <c r="P4" s="6"/>
      <c r="Q4" s="6"/>
      <c r="R4" s="6"/>
      <c r="S4" s="6"/>
      <c r="T4" s="6"/>
    </row>
    <row r="5" spans="1:20">
      <c r="A5" s="6" t="s">
        <v>3</v>
      </c>
      <c r="B5" s="6"/>
      <c r="C5" s="6"/>
      <c r="D5" s="6"/>
      <c r="E5" s="6"/>
      <c r="F5" s="6"/>
      <c r="G5" s="6"/>
      <c r="H5" s="6"/>
      <c r="I5" s="6"/>
      <c r="J5" s="6"/>
      <c r="K5" s="6"/>
      <c r="L5" s="6"/>
      <c r="M5" s="6"/>
      <c r="N5" s="6"/>
      <c r="O5" s="6"/>
      <c r="P5" s="6"/>
      <c r="Q5" s="6"/>
      <c r="R5" s="6"/>
      <c r="S5" s="6"/>
      <c r="T5" s="6"/>
    </row>
    <row r="6" spans="1:20">
      <c r="A6" s="9" t="s">
        <v>4</v>
      </c>
      <c r="B6" s="9"/>
      <c r="C6" s="9"/>
      <c r="D6" s="6"/>
      <c r="E6" s="6"/>
      <c r="F6" s="6"/>
      <c r="G6" s="6"/>
      <c r="H6" s="6"/>
      <c r="I6" s="6"/>
      <c r="J6" s="6"/>
      <c r="K6" s="6"/>
      <c r="L6" s="6"/>
      <c r="M6" s="6"/>
      <c r="N6" s="6"/>
      <c r="O6" s="6"/>
      <c r="P6" s="6"/>
      <c r="Q6" s="6"/>
      <c r="R6" s="6"/>
      <c r="S6" s="6"/>
      <c r="T6" s="6"/>
    </row>
    <row r="7" spans="1:20">
      <c r="A7" s="6" t="s">
        <v>5</v>
      </c>
      <c r="B7" s="6"/>
      <c r="C7" s="6"/>
      <c r="D7" s="6"/>
      <c r="E7" s="6"/>
      <c r="F7" s="6"/>
      <c r="G7" s="6"/>
      <c r="H7" s="6"/>
      <c r="I7" s="6"/>
      <c r="J7" s="6"/>
      <c r="K7" s="6"/>
      <c r="L7" s="6"/>
      <c r="M7" s="6"/>
      <c r="N7" s="6"/>
      <c r="O7" s="6"/>
      <c r="P7" s="6"/>
      <c r="Q7" s="6"/>
      <c r="R7" s="6"/>
      <c r="S7" s="6"/>
      <c r="T7" s="6"/>
    </row>
    <row r="8" spans="1:20">
      <c r="A8" s="9" t="s">
        <v>6</v>
      </c>
      <c r="B8" s="9"/>
      <c r="C8" s="9"/>
      <c r="D8" s="6"/>
      <c r="E8" s="6"/>
      <c r="F8" s="6"/>
      <c r="G8" s="6"/>
      <c r="H8" s="6"/>
      <c r="I8" s="6"/>
      <c r="J8" s="6"/>
      <c r="K8" s="6"/>
      <c r="L8" s="6"/>
      <c r="M8" s="6"/>
      <c r="N8" s="6"/>
      <c r="O8" s="6"/>
      <c r="P8" s="6"/>
      <c r="Q8" s="6"/>
      <c r="R8" s="6"/>
      <c r="S8" s="6"/>
      <c r="T8" s="6"/>
    </row>
    <row r="9" spans="1:20">
      <c r="A9" s="6" t="s">
        <v>7</v>
      </c>
      <c r="B9" s="6"/>
      <c r="C9" s="6"/>
      <c r="D9" s="6"/>
      <c r="E9" s="6"/>
      <c r="F9" s="6"/>
      <c r="G9" s="6"/>
      <c r="H9" s="6"/>
      <c r="I9" s="6"/>
      <c r="J9" s="6"/>
      <c r="K9" s="6"/>
      <c r="L9" s="6"/>
      <c r="M9" s="6"/>
      <c r="N9" s="6"/>
      <c r="O9" s="6"/>
      <c r="P9" s="6"/>
      <c r="Q9" s="6"/>
      <c r="R9" s="6"/>
      <c r="S9" s="6"/>
      <c r="T9" s="6"/>
    </row>
    <row r="10" spans="1:20">
      <c r="A10" s="9" t="s">
        <v>8</v>
      </c>
      <c r="B10" s="9"/>
      <c r="C10" s="9"/>
      <c r="D10" s="6"/>
      <c r="E10" s="6"/>
      <c r="F10" s="6"/>
      <c r="G10" s="6"/>
      <c r="H10" s="6"/>
      <c r="I10" s="6"/>
      <c r="J10" s="6"/>
      <c r="K10" s="6"/>
      <c r="L10" s="6"/>
      <c r="M10" s="6"/>
      <c r="N10" s="6"/>
      <c r="O10" s="6"/>
      <c r="P10" s="6"/>
      <c r="Q10" s="6"/>
      <c r="R10" s="6"/>
      <c r="S10" s="6"/>
      <c r="T10" s="6"/>
    </row>
    <row r="11" spans="1:20">
      <c r="A11" s="6" t="s">
        <v>9</v>
      </c>
      <c r="B11" s="6"/>
      <c r="C11" s="6"/>
      <c r="D11" s="6"/>
      <c r="E11" s="6"/>
      <c r="F11" s="6"/>
      <c r="G11" s="6"/>
      <c r="H11" s="6"/>
      <c r="I11" s="6"/>
      <c r="J11" s="6"/>
      <c r="K11" s="6"/>
      <c r="L11" s="6"/>
      <c r="M11" s="6"/>
      <c r="N11" s="6"/>
      <c r="O11" s="6"/>
      <c r="P11" s="6"/>
      <c r="Q11" s="6"/>
      <c r="R11" s="6"/>
      <c r="S11" s="6"/>
      <c r="T11" s="6"/>
    </row>
    <row r="12" spans="1:20">
      <c r="A12" s="9" t="s">
        <v>10</v>
      </c>
      <c r="B12" s="9"/>
      <c r="C12" s="9"/>
      <c r="D12" s="6"/>
      <c r="E12" s="6"/>
      <c r="F12" s="6"/>
      <c r="G12" s="6"/>
      <c r="H12" s="6"/>
      <c r="I12" s="6"/>
      <c r="J12" s="6"/>
      <c r="K12" s="6"/>
      <c r="L12" s="6"/>
      <c r="M12" s="6"/>
      <c r="N12" s="6"/>
      <c r="O12" s="6"/>
      <c r="P12" s="6"/>
      <c r="Q12" s="6"/>
      <c r="R12" s="6"/>
      <c r="S12" s="6"/>
      <c r="T12" s="6"/>
    </row>
    <row r="13" spans="1:20">
      <c r="A13" s="6" t="s">
        <v>11</v>
      </c>
      <c r="B13" s="6"/>
      <c r="C13" s="6"/>
      <c r="D13" s="6"/>
      <c r="E13" s="6"/>
      <c r="F13" s="6"/>
      <c r="G13" s="6"/>
      <c r="H13" s="6"/>
      <c r="I13" s="6"/>
      <c r="J13" s="6"/>
      <c r="K13" s="6"/>
      <c r="L13" s="6"/>
      <c r="M13" s="6"/>
      <c r="N13" s="6"/>
      <c r="O13" s="6"/>
      <c r="P13" s="6"/>
      <c r="Q13" s="6"/>
      <c r="R13" s="6"/>
      <c r="S13" s="6"/>
      <c r="T13" s="6"/>
    </row>
    <row r="14" spans="1:20">
      <c r="A14" s="9" t="s">
        <v>12</v>
      </c>
      <c r="B14" s="9"/>
      <c r="C14" s="6"/>
      <c r="D14" s="6"/>
      <c r="E14" s="6"/>
      <c r="F14" s="6"/>
      <c r="G14" s="6"/>
      <c r="H14" s="6"/>
      <c r="I14" s="6"/>
      <c r="J14" s="6"/>
      <c r="K14" s="6"/>
      <c r="L14" s="6"/>
      <c r="M14" s="6"/>
      <c r="N14" s="6"/>
      <c r="O14" s="6"/>
      <c r="P14" s="6"/>
      <c r="Q14" s="6"/>
      <c r="R14" s="6"/>
      <c r="S14" s="6"/>
      <c r="T14" s="6"/>
    </row>
    <row r="15" spans="1:20">
      <c r="A15" s="6" t="s">
        <v>13</v>
      </c>
      <c r="B15" s="6"/>
      <c r="C15" s="6"/>
      <c r="D15" s="6"/>
      <c r="E15" s="6"/>
      <c r="F15" s="6"/>
      <c r="G15" s="6"/>
      <c r="H15" s="6"/>
      <c r="I15" s="6"/>
      <c r="J15" s="6"/>
      <c r="K15" s="6"/>
      <c r="L15" s="6"/>
      <c r="M15" s="6"/>
      <c r="N15" s="6"/>
      <c r="O15" s="6"/>
      <c r="P15" s="6"/>
      <c r="Q15" s="6"/>
      <c r="R15" s="6"/>
      <c r="S15" s="6"/>
      <c r="T15" s="6"/>
    </row>
    <row r="17" spans="1:11" s="1" customFormat="1">
      <c r="A17" s="1" t="s">
        <v>54</v>
      </c>
    </row>
    <row r="19" spans="1:11">
      <c r="A19" s="4" t="s">
        <v>32</v>
      </c>
      <c r="B19" s="6"/>
      <c r="C19" s="6"/>
      <c r="D19" s="6"/>
      <c r="E19" s="6"/>
      <c r="F19" s="6"/>
      <c r="G19" s="6"/>
      <c r="H19" s="6"/>
      <c r="I19" s="6"/>
      <c r="J19" s="6"/>
      <c r="K19" s="6"/>
    </row>
    <row r="20" spans="1:11">
      <c r="A20" s="7" t="s">
        <v>15</v>
      </c>
      <c r="B20" s="6"/>
      <c r="C20" s="6"/>
      <c r="D20" s="6"/>
      <c r="E20" s="6"/>
      <c r="F20" s="6"/>
      <c r="G20" s="6"/>
      <c r="H20" s="6"/>
      <c r="I20" s="6"/>
      <c r="J20" s="6"/>
      <c r="K20" s="6"/>
    </row>
    <row r="21" spans="1:11">
      <c r="A21" s="8" t="s">
        <v>16</v>
      </c>
      <c r="B21" s="6"/>
      <c r="C21" s="6"/>
      <c r="D21" s="6"/>
      <c r="E21" s="6"/>
      <c r="F21" s="6"/>
      <c r="G21" s="6"/>
      <c r="H21" s="6"/>
      <c r="I21" s="6"/>
      <c r="J21" s="6"/>
      <c r="K21" s="6"/>
    </row>
    <row r="22" spans="1:11">
      <c r="A22" s="7" t="s">
        <v>17</v>
      </c>
      <c r="B22" s="6"/>
      <c r="C22" s="6"/>
      <c r="D22" s="6"/>
      <c r="E22" s="6"/>
      <c r="F22" s="6"/>
      <c r="G22" s="6"/>
      <c r="H22" s="6"/>
      <c r="I22" s="6"/>
      <c r="J22" s="6"/>
      <c r="K22" s="6"/>
    </row>
    <row r="23" spans="1:11">
      <c r="A23" s="8" t="s">
        <v>18</v>
      </c>
      <c r="B23" s="6"/>
      <c r="C23" s="6"/>
      <c r="D23" s="6"/>
      <c r="E23" s="6"/>
      <c r="F23" s="6"/>
      <c r="G23" s="6"/>
      <c r="H23" s="6"/>
      <c r="I23" s="6"/>
      <c r="J23" s="6"/>
      <c r="K23" s="6"/>
    </row>
    <row r="24" spans="1:11">
      <c r="A24" s="7" t="s">
        <v>19</v>
      </c>
      <c r="B24" s="6"/>
      <c r="C24" s="6"/>
      <c r="D24" s="6"/>
      <c r="E24" s="6"/>
      <c r="F24" s="6"/>
      <c r="G24" s="6"/>
      <c r="H24" s="6"/>
      <c r="I24" s="6"/>
      <c r="J24" s="6"/>
      <c r="K24" s="6"/>
    </row>
    <row r="25" spans="1:11">
      <c r="A25" s="8" t="s">
        <v>20</v>
      </c>
      <c r="B25" s="6"/>
      <c r="C25" s="6"/>
      <c r="D25" s="6"/>
      <c r="E25" s="6"/>
      <c r="F25" s="6"/>
      <c r="G25" s="6"/>
      <c r="H25" s="6"/>
      <c r="I25" s="6"/>
      <c r="J25" s="6"/>
      <c r="K25" s="6"/>
    </row>
    <row r="26" spans="1:11">
      <c r="A26" s="7" t="s">
        <v>21</v>
      </c>
      <c r="B26" s="6"/>
      <c r="C26" s="6"/>
      <c r="D26" s="6"/>
      <c r="E26" s="6"/>
      <c r="F26" s="6"/>
      <c r="G26" s="6"/>
      <c r="H26" s="6"/>
      <c r="I26" s="6"/>
      <c r="J26" s="6"/>
      <c r="K26" s="6"/>
    </row>
    <row r="27" spans="1:11">
      <c r="A27" s="8" t="s">
        <v>22</v>
      </c>
      <c r="B27" s="6"/>
      <c r="C27" s="6"/>
      <c r="D27" s="6"/>
      <c r="E27" s="6"/>
      <c r="F27" s="6"/>
      <c r="G27" s="6"/>
      <c r="H27" s="6"/>
      <c r="I27" s="6"/>
      <c r="J27" s="6"/>
      <c r="K27" s="6"/>
    </row>
    <row r="28" spans="1:11">
      <c r="A28" s="7" t="s">
        <v>23</v>
      </c>
      <c r="B28" s="6"/>
      <c r="C28" s="6"/>
      <c r="D28" s="6"/>
      <c r="E28" s="6"/>
      <c r="F28" s="6"/>
      <c r="G28" s="6"/>
      <c r="H28" s="6"/>
      <c r="I28" s="6"/>
      <c r="J28" s="6"/>
      <c r="K28" s="6"/>
    </row>
    <row r="29" spans="1:11">
      <c r="A29" s="8" t="s">
        <v>24</v>
      </c>
      <c r="B29" s="6"/>
      <c r="C29" s="6"/>
      <c r="D29" s="6"/>
      <c r="E29" s="6"/>
      <c r="F29" s="6"/>
      <c r="G29" s="6"/>
      <c r="H29" s="6"/>
      <c r="I29" s="6"/>
      <c r="J29" s="6"/>
      <c r="K29" s="6"/>
    </row>
    <row r="30" spans="1:11">
      <c r="A30" s="7" t="s">
        <v>25</v>
      </c>
      <c r="B30" s="6"/>
      <c r="C30" s="6"/>
      <c r="D30" s="6"/>
      <c r="E30" s="6"/>
      <c r="F30" s="6"/>
      <c r="G30" s="6"/>
      <c r="H30" s="6"/>
      <c r="I30" s="6"/>
      <c r="J30" s="6"/>
      <c r="K30" s="6"/>
    </row>
    <row r="31" spans="1:11">
      <c r="A31" s="8" t="s">
        <v>26</v>
      </c>
      <c r="B31" s="6"/>
      <c r="C31" s="6"/>
      <c r="D31" s="6"/>
      <c r="E31" s="6"/>
      <c r="F31" s="6"/>
      <c r="G31" s="6"/>
      <c r="H31" s="6"/>
      <c r="I31" s="6"/>
      <c r="J31" s="6"/>
      <c r="K31" s="6"/>
    </row>
    <row r="32" spans="1:11">
      <c r="A32" s="7" t="s">
        <v>27</v>
      </c>
      <c r="B32" s="6"/>
      <c r="C32" s="6"/>
      <c r="D32" s="6"/>
      <c r="E32" s="6"/>
      <c r="F32" s="6"/>
      <c r="G32" s="6"/>
      <c r="H32" s="6"/>
      <c r="I32" s="6"/>
      <c r="J32" s="6"/>
      <c r="K32" s="6"/>
    </row>
    <row r="33" spans="1:14">
      <c r="A33" s="8" t="s">
        <v>28</v>
      </c>
      <c r="B33" s="6"/>
      <c r="C33" s="6"/>
      <c r="D33" s="6"/>
      <c r="E33" s="6"/>
      <c r="F33" s="6"/>
      <c r="G33" s="6"/>
      <c r="H33" s="6"/>
      <c r="I33" s="6"/>
      <c r="J33" s="6"/>
      <c r="K33" s="6"/>
    </row>
    <row r="34" spans="1:14">
      <c r="A34" s="7" t="s">
        <v>29</v>
      </c>
      <c r="B34" s="6"/>
      <c r="C34" s="6"/>
      <c r="D34" s="6"/>
      <c r="E34" s="6"/>
      <c r="F34" s="6"/>
      <c r="G34" s="6"/>
      <c r="H34" s="6"/>
      <c r="I34" s="6"/>
      <c r="J34" s="6"/>
      <c r="K34" s="6"/>
    </row>
    <row r="35" spans="1:14">
      <c r="A35" s="8" t="s">
        <v>30</v>
      </c>
      <c r="B35" s="6"/>
      <c r="C35" s="6"/>
      <c r="D35" s="6"/>
      <c r="E35" s="6"/>
      <c r="F35" s="6"/>
      <c r="G35" s="6"/>
      <c r="H35" s="6"/>
      <c r="I35" s="6"/>
      <c r="J35" s="6"/>
      <c r="K35" s="6"/>
    </row>
    <row r="36" spans="1:14">
      <c r="A36"/>
    </row>
    <row r="37" spans="1:14">
      <c r="A37" s="3" t="s">
        <v>55</v>
      </c>
    </row>
    <row r="38" spans="1:14">
      <c r="A38"/>
    </row>
    <row r="39" spans="1:14">
      <c r="A39" s="4" t="s">
        <v>33</v>
      </c>
      <c r="B39" s="6"/>
      <c r="C39" s="6"/>
      <c r="D39" s="6"/>
      <c r="E39" s="6"/>
      <c r="F39" s="6"/>
      <c r="G39" s="6"/>
      <c r="H39" s="6"/>
      <c r="I39" s="6"/>
      <c r="J39" s="6"/>
      <c r="K39" s="6"/>
      <c r="L39" s="6"/>
      <c r="M39" s="6"/>
      <c r="N39" s="6"/>
    </row>
    <row r="40" spans="1:14">
      <c r="A40" s="7" t="s">
        <v>34</v>
      </c>
      <c r="B40" s="6"/>
      <c r="C40" s="6"/>
      <c r="D40" s="6"/>
      <c r="E40" s="6"/>
      <c r="F40" s="6"/>
      <c r="G40" s="6"/>
      <c r="H40" s="6"/>
      <c r="I40" s="6"/>
      <c r="J40" s="6"/>
      <c r="K40" s="6"/>
      <c r="L40" s="6"/>
      <c r="M40" s="6"/>
      <c r="N40" s="6"/>
    </row>
    <row r="41" spans="1:14">
      <c r="A41" s="8" t="s">
        <v>35</v>
      </c>
      <c r="B41" s="6"/>
      <c r="C41" s="6"/>
      <c r="D41" s="6"/>
      <c r="E41" s="6"/>
      <c r="F41" s="6"/>
      <c r="G41" s="6"/>
      <c r="H41" s="6"/>
      <c r="I41" s="6"/>
      <c r="J41" s="6"/>
      <c r="K41" s="6"/>
      <c r="L41" s="6"/>
      <c r="M41" s="6"/>
      <c r="N41" s="6"/>
    </row>
    <row r="42" spans="1:14">
      <c r="A42" s="7" t="s">
        <v>36</v>
      </c>
      <c r="B42" s="6"/>
      <c r="C42" s="6"/>
      <c r="D42" s="6"/>
      <c r="E42" s="6"/>
      <c r="F42" s="6"/>
      <c r="G42" s="6"/>
      <c r="H42" s="6"/>
      <c r="I42" s="6"/>
      <c r="J42" s="6"/>
      <c r="K42" s="6"/>
      <c r="L42" s="6"/>
      <c r="M42" s="6"/>
      <c r="N42" s="6"/>
    </row>
    <row r="43" spans="1:14">
      <c r="A43" s="8" t="s">
        <v>37</v>
      </c>
      <c r="B43" s="6"/>
      <c r="C43" s="6"/>
      <c r="D43" s="6"/>
      <c r="E43" s="6"/>
      <c r="F43" s="6"/>
      <c r="G43" s="6"/>
      <c r="H43" s="6"/>
      <c r="I43" s="6"/>
      <c r="J43" s="6"/>
      <c r="K43" s="6"/>
      <c r="L43" s="6"/>
      <c r="M43" s="6"/>
      <c r="N43" s="6"/>
    </row>
    <row r="44" spans="1:14">
      <c r="A44" s="7" t="s">
        <v>38</v>
      </c>
      <c r="B44" s="6"/>
      <c r="C44" s="6"/>
      <c r="D44" s="6"/>
      <c r="E44" s="6"/>
      <c r="F44" s="6"/>
      <c r="G44" s="6"/>
      <c r="H44" s="6"/>
      <c r="I44" s="6"/>
      <c r="J44" s="6"/>
      <c r="K44" s="6"/>
      <c r="L44" s="6"/>
      <c r="M44" s="6"/>
      <c r="N44" s="6"/>
    </row>
    <row r="45" spans="1:14">
      <c r="A45" s="8" t="s">
        <v>39</v>
      </c>
      <c r="B45" s="6"/>
      <c r="C45" s="6"/>
      <c r="D45" s="6"/>
      <c r="E45" s="6"/>
      <c r="F45" s="6"/>
      <c r="G45" s="6"/>
      <c r="H45" s="6"/>
      <c r="I45" s="6"/>
      <c r="J45" s="6"/>
      <c r="K45" s="6"/>
      <c r="L45" s="6"/>
      <c r="M45" s="6"/>
      <c r="N45" s="6"/>
    </row>
    <row r="46" spans="1:14">
      <c r="A46" s="7" t="s">
        <v>40</v>
      </c>
      <c r="B46" s="6"/>
      <c r="C46" s="6"/>
      <c r="D46" s="6"/>
      <c r="E46" s="6"/>
      <c r="F46" s="6"/>
      <c r="G46" s="6"/>
      <c r="H46" s="6"/>
      <c r="I46" s="6"/>
      <c r="J46" s="6"/>
      <c r="K46" s="6"/>
      <c r="L46" s="6"/>
      <c r="M46" s="6"/>
      <c r="N46" s="6"/>
    </row>
    <row r="47" spans="1:14">
      <c r="A47" s="8" t="s">
        <v>41</v>
      </c>
      <c r="B47" s="6"/>
      <c r="C47" s="6"/>
      <c r="D47" s="6"/>
      <c r="E47" s="6"/>
      <c r="F47" s="6"/>
      <c r="G47" s="6"/>
      <c r="H47" s="6"/>
      <c r="I47" s="6"/>
      <c r="J47" s="6"/>
      <c r="K47" s="6"/>
      <c r="L47" s="6"/>
      <c r="M47" s="6"/>
      <c r="N47" s="6"/>
    </row>
    <row r="48" spans="1:14">
      <c r="A48" s="7" t="s">
        <v>42</v>
      </c>
      <c r="B48" s="6"/>
      <c r="C48" s="6"/>
      <c r="D48" s="6"/>
      <c r="E48" s="6"/>
      <c r="F48" s="6"/>
      <c r="G48" s="6"/>
      <c r="H48" s="6"/>
      <c r="I48" s="6"/>
      <c r="J48" s="6"/>
      <c r="K48" s="6"/>
      <c r="L48" s="6"/>
      <c r="M48" s="6"/>
      <c r="N48" s="6"/>
    </row>
    <row r="49" spans="1:14">
      <c r="A49" s="8" t="s">
        <v>43</v>
      </c>
      <c r="B49" s="6"/>
      <c r="C49" s="6"/>
      <c r="D49" s="6"/>
      <c r="E49" s="6"/>
      <c r="F49" s="6"/>
      <c r="G49" s="6"/>
      <c r="H49" s="6"/>
      <c r="I49" s="6"/>
      <c r="J49" s="6"/>
      <c r="K49" s="6"/>
      <c r="L49" s="6"/>
      <c r="M49" s="6"/>
      <c r="N49" s="6"/>
    </row>
    <row r="50" spans="1:14">
      <c r="A50" s="7" t="s">
        <v>44</v>
      </c>
      <c r="B50" s="6"/>
      <c r="C50" s="6"/>
      <c r="D50" s="6"/>
      <c r="E50" s="6"/>
      <c r="F50" s="6"/>
      <c r="G50" s="6"/>
      <c r="H50" s="6"/>
      <c r="I50" s="6"/>
      <c r="J50" s="6"/>
      <c r="K50" s="6"/>
      <c r="L50" s="6"/>
      <c r="M50" s="6"/>
      <c r="N50" s="6"/>
    </row>
    <row r="51" spans="1:14">
      <c r="A51" s="8" t="s">
        <v>45</v>
      </c>
      <c r="B51" s="6"/>
      <c r="C51" s="6"/>
      <c r="D51" s="6"/>
      <c r="E51" s="6"/>
      <c r="F51" s="6"/>
      <c r="G51" s="6"/>
      <c r="H51" s="6"/>
      <c r="I51" s="6"/>
      <c r="J51" s="6"/>
      <c r="K51" s="6"/>
      <c r="L51" s="6"/>
      <c r="M51" s="6"/>
      <c r="N51" s="6"/>
    </row>
    <row r="52" spans="1:14">
      <c r="A52" s="7" t="s">
        <v>46</v>
      </c>
      <c r="B52" s="6"/>
      <c r="C52" s="6"/>
      <c r="D52" s="6"/>
      <c r="E52" s="6"/>
      <c r="F52" s="6"/>
      <c r="G52" s="6"/>
      <c r="H52" s="6"/>
      <c r="I52" s="6"/>
      <c r="J52" s="6"/>
      <c r="K52" s="6"/>
      <c r="L52" s="6"/>
      <c r="M52" s="6"/>
      <c r="N52" s="6"/>
    </row>
    <row r="53" spans="1:14">
      <c r="A53" s="8" t="s">
        <v>47</v>
      </c>
      <c r="B53" s="6"/>
      <c r="C53" s="6"/>
      <c r="D53" s="6"/>
      <c r="E53" s="6"/>
      <c r="F53" s="6"/>
      <c r="G53" s="6"/>
      <c r="H53" s="6"/>
      <c r="I53" s="6"/>
      <c r="J53" s="6"/>
      <c r="K53" s="6"/>
      <c r="L53" s="6"/>
      <c r="M53" s="6"/>
      <c r="N53" s="6"/>
    </row>
    <row r="54" spans="1:14">
      <c r="A54" s="7" t="s">
        <v>48</v>
      </c>
      <c r="B54" s="6"/>
      <c r="C54" s="6"/>
      <c r="D54" s="6"/>
      <c r="E54" s="6"/>
      <c r="F54" s="6"/>
      <c r="G54" s="6"/>
      <c r="H54" s="6"/>
      <c r="I54" s="6"/>
      <c r="J54" s="6"/>
      <c r="K54" s="6"/>
      <c r="L54" s="6"/>
      <c r="M54" s="6"/>
      <c r="N54" s="6"/>
    </row>
    <row r="55" spans="1:14">
      <c r="A55" s="8" t="s">
        <v>49</v>
      </c>
      <c r="B55" s="6"/>
      <c r="C55" s="6"/>
      <c r="D55" s="6"/>
      <c r="E55" s="6"/>
      <c r="F55" s="6"/>
      <c r="G55" s="6"/>
      <c r="H55" s="6"/>
      <c r="I55" s="6"/>
      <c r="J55" s="6"/>
      <c r="K55" s="6"/>
      <c r="L55" s="6"/>
      <c r="M55" s="6"/>
      <c r="N55" s="6"/>
    </row>
    <row r="56" spans="1:14">
      <c r="A56" s="7" t="s">
        <v>50</v>
      </c>
      <c r="B56" s="6"/>
      <c r="C56" s="6"/>
      <c r="D56" s="6"/>
      <c r="E56" s="6"/>
      <c r="F56" s="6"/>
      <c r="G56" s="6"/>
      <c r="H56" s="6"/>
      <c r="I56" s="6"/>
      <c r="J56" s="6"/>
      <c r="K56" s="6"/>
      <c r="L56" s="6"/>
      <c r="M56" s="6"/>
      <c r="N56" s="6"/>
    </row>
    <row r="57" spans="1:14">
      <c r="A57" s="8" t="s">
        <v>51</v>
      </c>
      <c r="B57" s="6"/>
      <c r="C57" s="6"/>
      <c r="D57" s="6"/>
      <c r="E57" s="6"/>
      <c r="F57" s="6"/>
      <c r="G57" s="6"/>
      <c r="H57" s="6"/>
      <c r="I57" s="6"/>
      <c r="J57" s="6"/>
      <c r="K57" s="6"/>
      <c r="L57" s="6"/>
      <c r="M57" s="6"/>
      <c r="N57" s="6"/>
    </row>
    <row r="58" spans="1:14">
      <c r="A58" s="7" t="s">
        <v>52</v>
      </c>
      <c r="B58" s="6"/>
      <c r="C58" s="6"/>
      <c r="D58" s="6"/>
      <c r="E58" s="6"/>
      <c r="F58" s="6"/>
      <c r="G58" s="6"/>
      <c r="H58" s="6"/>
      <c r="I58" s="6"/>
      <c r="J58" s="6"/>
      <c r="K58" s="6"/>
      <c r="L58" s="6"/>
      <c r="M58" s="6"/>
      <c r="N58" s="6"/>
    </row>
    <row r="59" spans="1:14">
      <c r="A59" s="8" t="s">
        <v>53</v>
      </c>
      <c r="B59" s="6"/>
      <c r="C59" s="6"/>
      <c r="D59" s="6"/>
      <c r="E59" s="6"/>
      <c r="F59" s="6"/>
      <c r="G59" s="6"/>
      <c r="H59" s="6"/>
      <c r="I59" s="6"/>
      <c r="J59" s="6"/>
      <c r="K59" s="6"/>
      <c r="L59" s="6"/>
      <c r="M59" s="6"/>
      <c r="N59" s="6"/>
    </row>
    <row r="60" spans="1:14">
      <c r="A60"/>
    </row>
    <row r="61" spans="1:14">
      <c r="A61" s="3"/>
    </row>
    <row r="62" spans="1:14">
      <c r="A6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6939D-65C3-44A6-BFC7-39C030C23E68}">
  <dimension ref="A1:U32"/>
  <sheetViews>
    <sheetView topLeftCell="A17" workbookViewId="0">
      <selection activeCell="D37" sqref="D37"/>
    </sheetView>
  </sheetViews>
  <sheetFormatPr defaultRowHeight="14.4"/>
  <cols>
    <col min="2" max="2" width="10.88671875" customWidth="1"/>
    <col min="3" max="3" width="11.77734375" customWidth="1"/>
    <col min="4" max="4" width="11.6640625" customWidth="1"/>
    <col min="5" max="5" width="10.109375" bestFit="1" customWidth="1"/>
    <col min="6" max="6" width="12.88671875" bestFit="1" customWidth="1"/>
    <col min="7" max="7" width="7.109375" bestFit="1" customWidth="1"/>
  </cols>
  <sheetData>
    <row r="1" spans="1:21" ht="17.399999999999999">
      <c r="A1" s="10" t="s">
        <v>56</v>
      </c>
      <c r="B1" s="10" t="s">
        <v>57</v>
      </c>
      <c r="C1" s="10"/>
      <c r="D1" s="10"/>
      <c r="E1" s="10"/>
      <c r="F1" s="10"/>
      <c r="G1" s="10"/>
      <c r="H1" s="10"/>
      <c r="I1" s="10"/>
      <c r="J1" s="10"/>
      <c r="K1" s="10"/>
      <c r="L1" s="10"/>
      <c r="M1" s="10"/>
      <c r="N1" s="10"/>
      <c r="O1" s="11"/>
      <c r="P1" s="11"/>
      <c r="Q1" s="11"/>
      <c r="R1" s="10"/>
      <c r="S1" s="10"/>
      <c r="T1" s="10"/>
    </row>
    <row r="2" spans="1:21" ht="15" thickBot="1"/>
    <row r="3" spans="1:21" ht="15.6">
      <c r="E3" s="12" t="s">
        <v>58</v>
      </c>
      <c r="F3" s="13" t="s">
        <v>59</v>
      </c>
      <c r="G3" s="14" t="s">
        <v>60</v>
      </c>
    </row>
    <row r="4" spans="1:21" ht="15.6">
      <c r="E4" s="15" t="s">
        <v>61</v>
      </c>
      <c r="F4" s="16" t="s">
        <v>62</v>
      </c>
      <c r="G4" s="17">
        <v>4000</v>
      </c>
    </row>
    <row r="5" spans="1:21" ht="15.6">
      <c r="E5" s="15" t="s">
        <v>63</v>
      </c>
      <c r="F5" s="16" t="s">
        <v>64</v>
      </c>
      <c r="G5" s="17">
        <v>5000</v>
      </c>
    </row>
    <row r="6" spans="1:21" ht="16.2" thickBot="1">
      <c r="E6" s="18" t="s">
        <v>65</v>
      </c>
      <c r="F6" s="19" t="s">
        <v>62</v>
      </c>
      <c r="G6" s="20">
        <v>2500</v>
      </c>
    </row>
    <row r="8" spans="1:21" ht="16.2" thickBot="1">
      <c r="A8" s="4"/>
      <c r="B8" s="4"/>
      <c r="C8" s="4"/>
      <c r="D8" s="4" t="s">
        <v>85</v>
      </c>
      <c r="E8" s="4"/>
      <c r="F8" s="26" t="s">
        <v>67</v>
      </c>
      <c r="G8" s="26" t="s">
        <v>68</v>
      </c>
      <c r="H8" s="26"/>
      <c r="I8" s="26"/>
      <c r="J8" s="26"/>
      <c r="K8" s="26"/>
      <c r="L8" s="26"/>
      <c r="M8" s="26"/>
      <c r="N8" s="26"/>
      <c r="O8" s="26"/>
      <c r="P8" s="26"/>
      <c r="Q8" s="26"/>
      <c r="R8" s="26"/>
      <c r="S8" s="4"/>
      <c r="T8" s="4"/>
      <c r="U8" s="4"/>
    </row>
    <row r="9" spans="1:21" ht="15.6">
      <c r="A9" s="4" t="s">
        <v>66</v>
      </c>
      <c r="B9" s="27" t="s">
        <v>58</v>
      </c>
      <c r="C9" s="28" t="s">
        <v>59</v>
      </c>
      <c r="D9" s="29" t="s">
        <v>60</v>
      </c>
      <c r="E9" s="4"/>
      <c r="F9" s="26"/>
      <c r="G9" s="26"/>
      <c r="H9" s="26"/>
      <c r="I9" s="26"/>
      <c r="J9" s="26"/>
      <c r="K9" s="26"/>
      <c r="L9" s="26"/>
      <c r="M9" s="26"/>
      <c r="N9" s="26"/>
      <c r="O9" s="26"/>
      <c r="P9" s="26"/>
      <c r="Q9" s="26"/>
      <c r="R9" s="26"/>
      <c r="S9" s="4"/>
      <c r="T9" s="4"/>
      <c r="U9" s="4"/>
    </row>
    <row r="10" spans="1:21" ht="15.6">
      <c r="A10" s="4"/>
      <c r="B10" s="30" t="s">
        <v>63</v>
      </c>
      <c r="C10" s="31" t="s">
        <v>64</v>
      </c>
      <c r="D10" s="32">
        <v>5000</v>
      </c>
      <c r="E10" s="4"/>
      <c r="F10" s="26" t="s">
        <v>69</v>
      </c>
      <c r="G10" s="26" t="s">
        <v>79</v>
      </c>
      <c r="H10" s="26"/>
      <c r="I10" s="26"/>
      <c r="J10" s="26"/>
      <c r="K10" s="26"/>
      <c r="L10" s="26"/>
      <c r="M10" s="26"/>
      <c r="N10" s="26"/>
      <c r="O10" s="26"/>
      <c r="P10" s="26"/>
      <c r="Q10" s="26"/>
      <c r="R10" s="26"/>
      <c r="S10" s="4"/>
      <c r="T10" s="4"/>
      <c r="U10" s="4"/>
    </row>
    <row r="11" spans="1:21" ht="15.6">
      <c r="A11" s="4"/>
      <c r="B11" s="30" t="s">
        <v>65</v>
      </c>
      <c r="C11" s="31" t="s">
        <v>62</v>
      </c>
      <c r="D11" s="32">
        <v>2500</v>
      </c>
      <c r="E11" s="4"/>
      <c r="F11" s="26"/>
      <c r="G11" s="26"/>
      <c r="H11" s="26"/>
      <c r="I11" s="26"/>
      <c r="J11" s="26"/>
      <c r="K11" s="26"/>
      <c r="L11" s="26"/>
      <c r="M11" s="26"/>
      <c r="N11" s="26"/>
      <c r="O11" s="26"/>
      <c r="P11" s="26"/>
      <c r="Q11" s="26"/>
      <c r="R11" s="26"/>
      <c r="S11" s="4"/>
      <c r="T11" s="4"/>
      <c r="U11" s="4"/>
    </row>
    <row r="12" spans="1:21" ht="16.2" thickBot="1">
      <c r="A12" s="4"/>
      <c r="B12" s="33" t="s">
        <v>61</v>
      </c>
      <c r="C12" s="34" t="s">
        <v>62</v>
      </c>
      <c r="D12" s="35">
        <v>4000</v>
      </c>
      <c r="E12" s="4"/>
      <c r="F12" s="26" t="s">
        <v>70</v>
      </c>
      <c r="G12" s="26" t="s">
        <v>80</v>
      </c>
      <c r="H12" s="26"/>
      <c r="I12" s="26"/>
      <c r="J12" s="26"/>
      <c r="K12" s="26"/>
      <c r="L12" s="26"/>
      <c r="M12" s="26"/>
      <c r="N12" s="26"/>
      <c r="O12" s="26"/>
      <c r="P12" s="26"/>
      <c r="Q12" s="26"/>
      <c r="R12" s="26"/>
      <c r="S12" s="4"/>
      <c r="T12" s="4"/>
      <c r="U12" s="4"/>
    </row>
    <row r="13" spans="1:21" ht="15.6">
      <c r="A13" s="4"/>
      <c r="B13" s="4"/>
      <c r="C13" s="4"/>
      <c r="D13" s="4"/>
      <c r="E13" s="4"/>
      <c r="F13" s="26"/>
      <c r="G13" s="26"/>
      <c r="H13" s="26"/>
      <c r="I13" s="26"/>
      <c r="J13" s="26"/>
      <c r="K13" s="26"/>
      <c r="L13" s="26"/>
      <c r="M13" s="26"/>
      <c r="N13" s="26"/>
      <c r="O13" s="26"/>
      <c r="P13" s="26"/>
      <c r="Q13" s="26"/>
      <c r="R13" s="26"/>
      <c r="S13" s="4"/>
      <c r="T13" s="4"/>
      <c r="U13" s="4"/>
    </row>
    <row r="14" spans="1:21" ht="16.2" thickBot="1">
      <c r="A14" s="4"/>
      <c r="B14" s="4"/>
      <c r="C14" s="4"/>
      <c r="D14" s="4"/>
      <c r="E14" s="4"/>
      <c r="F14" s="36" t="s">
        <v>71</v>
      </c>
      <c r="G14" s="36" t="s">
        <v>72</v>
      </c>
      <c r="H14" s="36"/>
      <c r="I14" s="36" t="s">
        <v>73</v>
      </c>
      <c r="J14" s="36"/>
      <c r="K14" s="36"/>
      <c r="L14" s="26"/>
      <c r="M14" s="26"/>
      <c r="N14" s="26"/>
      <c r="O14" s="26"/>
      <c r="P14" s="26"/>
      <c r="Q14" s="26"/>
      <c r="R14" s="26"/>
      <c r="S14" s="4"/>
      <c r="T14" s="4"/>
      <c r="U14" s="4"/>
    </row>
    <row r="15" spans="1:21" ht="15.6">
      <c r="A15" s="4"/>
      <c r="B15" s="27" t="s">
        <v>58</v>
      </c>
      <c r="C15" s="28" t="s">
        <v>59</v>
      </c>
      <c r="D15" s="29" t="s">
        <v>60</v>
      </c>
      <c r="E15" s="4"/>
      <c r="F15" s="26"/>
      <c r="G15" s="26"/>
      <c r="H15" s="26"/>
      <c r="I15" s="26"/>
      <c r="J15" s="26"/>
      <c r="K15" s="26"/>
      <c r="L15" s="26"/>
      <c r="M15" s="26"/>
      <c r="N15" s="26"/>
      <c r="O15" s="26"/>
      <c r="P15" s="26"/>
      <c r="Q15" s="26"/>
      <c r="R15" s="26"/>
      <c r="S15" s="4"/>
      <c r="T15" s="4"/>
      <c r="U15" s="4"/>
    </row>
    <row r="16" spans="1:21" ht="15.6">
      <c r="A16" s="4"/>
      <c r="B16" s="30" t="s">
        <v>63</v>
      </c>
      <c r="C16" s="31" t="s">
        <v>64</v>
      </c>
      <c r="D16" s="32">
        <v>5000</v>
      </c>
      <c r="E16" s="4"/>
      <c r="F16" s="26" t="s">
        <v>74</v>
      </c>
      <c r="G16" s="26" t="s">
        <v>75</v>
      </c>
      <c r="H16" s="26"/>
      <c r="I16" s="26"/>
      <c r="J16" s="26"/>
      <c r="K16" s="26"/>
      <c r="L16" s="26"/>
      <c r="M16" s="26"/>
      <c r="N16" s="26"/>
      <c r="O16" s="26"/>
      <c r="P16" s="26"/>
      <c r="Q16" s="26"/>
      <c r="R16" s="26"/>
      <c r="S16" s="4"/>
      <c r="T16" s="4"/>
      <c r="U16" s="4"/>
    </row>
    <row r="17" spans="1:21" ht="15.6">
      <c r="A17" s="4"/>
      <c r="B17" s="30" t="s">
        <v>61</v>
      </c>
      <c r="C17" s="31" t="s">
        <v>62</v>
      </c>
      <c r="D17" s="32">
        <v>4000</v>
      </c>
      <c r="E17" s="4"/>
      <c r="F17" s="26"/>
      <c r="G17" s="26" t="s">
        <v>81</v>
      </c>
      <c r="H17" s="26"/>
      <c r="I17" s="26"/>
      <c r="J17" s="26"/>
      <c r="K17" s="26"/>
      <c r="L17" s="26"/>
      <c r="M17" s="26"/>
      <c r="N17" s="26"/>
      <c r="O17" s="26"/>
      <c r="P17" s="26"/>
      <c r="Q17" s="26"/>
      <c r="R17" s="26"/>
      <c r="S17" s="4"/>
      <c r="T17" s="4"/>
      <c r="U17" s="4"/>
    </row>
    <row r="18" spans="1:21" ht="16.2" thickBot="1">
      <c r="A18" s="4"/>
      <c r="B18" s="33" t="s">
        <v>65</v>
      </c>
      <c r="C18" s="34" t="s">
        <v>62</v>
      </c>
      <c r="D18" s="35">
        <v>2500</v>
      </c>
      <c r="E18" s="4"/>
      <c r="F18" s="26"/>
      <c r="G18" s="26"/>
      <c r="H18" s="26"/>
      <c r="I18" s="26"/>
      <c r="J18" s="26"/>
      <c r="K18" s="26"/>
      <c r="L18" s="26"/>
      <c r="M18" s="26"/>
      <c r="N18" s="26"/>
      <c r="O18" s="26"/>
      <c r="P18" s="26"/>
      <c r="Q18" s="26"/>
      <c r="R18" s="26"/>
      <c r="S18" s="4"/>
      <c r="T18" s="4"/>
      <c r="U18" s="4"/>
    </row>
    <row r="19" spans="1:21" ht="15.6">
      <c r="A19" s="4"/>
      <c r="B19" s="4"/>
      <c r="C19" s="4"/>
      <c r="D19" s="4"/>
      <c r="E19" s="4"/>
      <c r="F19" s="26"/>
      <c r="G19" s="26"/>
      <c r="H19" s="26"/>
      <c r="I19" s="26"/>
      <c r="J19" s="26"/>
      <c r="K19" s="26"/>
      <c r="L19" s="26"/>
      <c r="M19" s="26"/>
      <c r="N19" s="26"/>
      <c r="O19" s="26"/>
      <c r="P19" s="26"/>
      <c r="Q19" s="26"/>
      <c r="R19" s="26"/>
      <c r="S19" s="4"/>
      <c r="T19" s="4"/>
      <c r="U19" s="4"/>
    </row>
    <row r="20" spans="1:21" ht="21">
      <c r="A20" s="4"/>
      <c r="B20" s="4"/>
      <c r="C20" s="4"/>
      <c r="D20" s="4"/>
      <c r="E20" s="4"/>
      <c r="F20" s="37" t="s">
        <v>76</v>
      </c>
      <c r="G20" s="4"/>
      <c r="H20" s="4"/>
      <c r="I20" s="4"/>
      <c r="J20" s="4"/>
      <c r="K20" s="4"/>
      <c r="L20" s="4"/>
      <c r="M20" s="4"/>
      <c r="N20" s="4"/>
      <c r="O20" s="4"/>
      <c r="P20" s="4"/>
      <c r="Q20" s="4"/>
      <c r="R20" s="4"/>
      <c r="S20" s="4"/>
      <c r="T20" s="4"/>
      <c r="U20" s="4"/>
    </row>
    <row r="21" spans="1:21">
      <c r="A21" s="4"/>
      <c r="B21" s="4"/>
      <c r="C21" s="4"/>
      <c r="D21" s="4"/>
      <c r="E21" s="4"/>
      <c r="F21" s="4"/>
      <c r="G21" s="4"/>
      <c r="H21" s="4"/>
      <c r="I21" s="4"/>
      <c r="J21" s="4"/>
      <c r="K21" s="4"/>
      <c r="L21" s="4"/>
      <c r="M21" s="4"/>
      <c r="N21" s="4"/>
      <c r="O21" s="4"/>
      <c r="P21" s="4"/>
      <c r="Q21" s="4"/>
      <c r="R21" s="4"/>
      <c r="S21" s="4"/>
      <c r="T21" s="4"/>
      <c r="U21" s="4"/>
    </row>
    <row r="22" spans="1:21" ht="18">
      <c r="A22" s="4"/>
      <c r="B22" s="4"/>
      <c r="C22" s="4"/>
      <c r="D22" s="4"/>
      <c r="E22" s="4"/>
      <c r="F22" s="38" t="s">
        <v>77</v>
      </c>
      <c r="G22" s="38"/>
      <c r="H22" s="38"/>
      <c r="I22" s="38"/>
      <c r="J22" s="38"/>
      <c r="K22" s="4"/>
      <c r="L22" s="4"/>
      <c r="M22" s="4"/>
      <c r="N22" s="4"/>
      <c r="O22" s="4"/>
      <c r="P22" s="4"/>
      <c r="Q22" s="4"/>
      <c r="R22" s="4"/>
      <c r="S22" s="4"/>
      <c r="T22" s="4"/>
      <c r="U22" s="4"/>
    </row>
    <row r="23" spans="1:21" ht="18">
      <c r="A23" s="4"/>
      <c r="B23" s="4"/>
      <c r="C23" s="4"/>
      <c r="D23" s="4"/>
      <c r="E23" s="4"/>
      <c r="F23" s="38"/>
      <c r="G23" s="38"/>
      <c r="H23" s="38"/>
      <c r="I23" s="38"/>
      <c r="J23" s="38"/>
      <c r="K23" s="4"/>
      <c r="L23" s="4"/>
      <c r="M23" s="4"/>
      <c r="N23" s="4"/>
      <c r="O23" s="4"/>
      <c r="P23" s="4"/>
      <c r="Q23" s="4"/>
      <c r="R23" s="4"/>
      <c r="S23" s="4"/>
      <c r="T23" s="4"/>
      <c r="U23" s="4"/>
    </row>
    <row r="24" spans="1:21" ht="15.6">
      <c r="A24" s="4"/>
      <c r="B24" s="4"/>
      <c r="C24" s="4"/>
      <c r="D24" s="4"/>
      <c r="E24" s="4"/>
      <c r="F24" s="26" t="s">
        <v>67</v>
      </c>
      <c r="G24" s="26" t="s">
        <v>68</v>
      </c>
      <c r="H24" s="26"/>
      <c r="I24" s="26"/>
      <c r="J24" s="26"/>
      <c r="K24" s="26"/>
      <c r="L24" s="26"/>
      <c r="M24" s="26"/>
      <c r="N24" s="4"/>
      <c r="O24" s="4"/>
      <c r="P24" s="4"/>
      <c r="Q24" s="4"/>
      <c r="R24" s="4"/>
      <c r="S24" s="4"/>
      <c r="T24" s="4"/>
      <c r="U24" s="4"/>
    </row>
    <row r="25" spans="1:21" ht="15.6">
      <c r="A25" s="4"/>
      <c r="B25" s="4"/>
      <c r="C25" s="4"/>
      <c r="D25" s="4"/>
      <c r="E25" s="4"/>
      <c r="F25" s="26"/>
      <c r="G25" s="26"/>
      <c r="H25" s="26"/>
      <c r="I25" s="26"/>
      <c r="J25" s="26"/>
      <c r="K25" s="26"/>
      <c r="L25" s="26"/>
      <c r="M25" s="26"/>
      <c r="N25" s="4"/>
      <c r="O25" s="4"/>
      <c r="P25" s="4"/>
      <c r="Q25" s="4"/>
      <c r="R25" s="4"/>
      <c r="S25" s="4"/>
      <c r="T25" s="4"/>
      <c r="U25" s="4"/>
    </row>
    <row r="26" spans="1:21" ht="15.6">
      <c r="A26" s="4"/>
      <c r="B26" s="4"/>
      <c r="C26" s="4"/>
      <c r="D26" s="4"/>
      <c r="E26" s="4"/>
      <c r="F26" s="26" t="s">
        <v>69</v>
      </c>
      <c r="G26" s="26" t="s">
        <v>82</v>
      </c>
      <c r="H26" s="26"/>
      <c r="I26" s="26"/>
      <c r="J26" s="26"/>
      <c r="K26" s="26"/>
      <c r="L26" s="26"/>
      <c r="M26" s="26"/>
      <c r="N26" s="4"/>
      <c r="O26" s="4"/>
      <c r="P26" s="4"/>
      <c r="Q26" s="4"/>
      <c r="R26" s="4"/>
      <c r="S26" s="4"/>
      <c r="T26" s="4"/>
      <c r="U26" s="4"/>
    </row>
    <row r="27" spans="1:21" ht="15.6">
      <c r="A27" s="4"/>
      <c r="B27" s="4"/>
      <c r="C27" s="4"/>
      <c r="D27" s="4"/>
      <c r="E27" s="4"/>
      <c r="F27" s="26"/>
      <c r="G27" s="26"/>
      <c r="H27" s="26"/>
      <c r="I27" s="26"/>
      <c r="J27" s="26"/>
      <c r="K27" s="26"/>
      <c r="L27" s="26"/>
      <c r="M27" s="26"/>
      <c r="N27" s="4"/>
      <c r="O27" s="4"/>
      <c r="P27" s="4"/>
      <c r="Q27" s="4"/>
      <c r="R27" s="4"/>
      <c r="S27" s="4"/>
      <c r="T27" s="4"/>
      <c r="U27" s="4"/>
    </row>
    <row r="28" spans="1:21" ht="15.6">
      <c r="A28" s="4"/>
      <c r="B28" s="4"/>
      <c r="C28" s="4"/>
      <c r="D28" s="4"/>
      <c r="E28" s="4"/>
      <c r="F28" s="26" t="s">
        <v>70</v>
      </c>
      <c r="G28" s="26" t="s">
        <v>83</v>
      </c>
      <c r="H28" s="26"/>
      <c r="I28" s="26"/>
      <c r="J28" s="26"/>
      <c r="K28" s="26"/>
      <c r="L28" s="26"/>
      <c r="M28" s="26"/>
      <c r="N28" s="4"/>
      <c r="O28" s="4"/>
      <c r="P28" s="4"/>
      <c r="Q28" s="4"/>
      <c r="R28" s="4"/>
      <c r="S28" s="4"/>
      <c r="T28" s="4"/>
      <c r="U28" s="4"/>
    </row>
    <row r="29" spans="1:21" ht="15.6">
      <c r="A29" s="4"/>
      <c r="B29" s="4"/>
      <c r="C29" s="4"/>
      <c r="D29" s="4"/>
      <c r="E29" s="4"/>
      <c r="F29" s="26"/>
      <c r="G29" s="26"/>
      <c r="H29" s="26"/>
      <c r="I29" s="26"/>
      <c r="J29" s="26"/>
      <c r="K29" s="26"/>
      <c r="L29" s="26"/>
      <c r="M29" s="26"/>
      <c r="N29" s="4"/>
      <c r="O29" s="4"/>
      <c r="P29" s="4"/>
      <c r="Q29" s="4"/>
      <c r="R29" s="4"/>
      <c r="S29" s="4"/>
      <c r="T29" s="4"/>
      <c r="U29" s="4"/>
    </row>
    <row r="30" spans="1:21" ht="15.6">
      <c r="A30" s="4"/>
      <c r="B30" s="4"/>
      <c r="C30" s="4"/>
      <c r="D30" s="4"/>
      <c r="E30" s="4"/>
      <c r="F30" s="26" t="s">
        <v>71</v>
      </c>
      <c r="G30" s="26" t="s">
        <v>72</v>
      </c>
      <c r="H30" s="26"/>
      <c r="I30" s="26" t="s">
        <v>73</v>
      </c>
      <c r="J30" s="26"/>
      <c r="K30" s="26"/>
      <c r="L30" s="26"/>
      <c r="M30" s="26"/>
      <c r="N30" s="4"/>
      <c r="O30" s="4"/>
      <c r="P30" s="4"/>
      <c r="Q30" s="4"/>
      <c r="R30" s="4"/>
      <c r="S30" s="4"/>
      <c r="T30" s="4"/>
      <c r="U30" s="4"/>
    </row>
    <row r="31" spans="1:21">
      <c r="A31" s="4"/>
      <c r="B31" s="4"/>
      <c r="C31" s="4"/>
      <c r="D31" s="4"/>
      <c r="E31" s="4"/>
      <c r="F31" s="4"/>
      <c r="G31" s="4"/>
      <c r="H31" s="4"/>
      <c r="I31" s="4"/>
      <c r="J31" s="4"/>
      <c r="K31" s="4"/>
      <c r="L31" s="4"/>
      <c r="M31" s="4"/>
      <c r="N31" s="4"/>
      <c r="O31" s="4"/>
      <c r="P31" s="4"/>
      <c r="Q31" s="4"/>
      <c r="R31" s="4"/>
      <c r="S31" s="4"/>
      <c r="T31" s="4"/>
      <c r="U31" s="4"/>
    </row>
    <row r="32" spans="1:21" ht="15.6">
      <c r="A32" s="4"/>
      <c r="B32" s="4"/>
      <c r="C32" s="4"/>
      <c r="D32" s="4"/>
      <c r="E32" s="4"/>
      <c r="F32" s="26" t="s">
        <v>78</v>
      </c>
      <c r="G32" s="26" t="s">
        <v>84</v>
      </c>
      <c r="H32" s="26"/>
      <c r="I32" s="26"/>
      <c r="J32" s="26"/>
      <c r="K32" s="26"/>
      <c r="L32" s="26"/>
      <c r="M32" s="26"/>
      <c r="N32" s="26"/>
      <c r="O32" s="4"/>
      <c r="P32" s="4"/>
      <c r="Q32" s="4"/>
      <c r="R32" s="4"/>
      <c r="S32" s="4"/>
      <c r="T32" s="4"/>
      <c r="U32" s="4"/>
    </row>
  </sheetData>
  <sortState xmlns:xlrd2="http://schemas.microsoft.com/office/spreadsheetml/2017/richdata2" ref="B10:D12">
    <sortCondition ref="C10:C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CE5FA-0E63-4C41-B511-652C80F41564}">
  <dimension ref="A1:S99"/>
  <sheetViews>
    <sheetView workbookViewId="0">
      <selection activeCell="O3" sqref="O3"/>
    </sheetView>
  </sheetViews>
  <sheetFormatPr defaultRowHeight="14.4"/>
  <cols>
    <col min="13" max="13" width="16" bestFit="1" customWidth="1"/>
    <col min="15" max="15" width="14.33203125" bestFit="1" customWidth="1"/>
  </cols>
  <sheetData>
    <row r="1" spans="1:19" s="3" customFormat="1" ht="23.4">
      <c r="A1" s="42" t="s">
        <v>123</v>
      </c>
      <c r="B1" s="42"/>
      <c r="C1" s="42"/>
      <c r="D1" s="42"/>
      <c r="E1" s="42"/>
      <c r="F1" s="42"/>
      <c r="G1" s="42"/>
      <c r="H1" s="42"/>
      <c r="I1" s="42"/>
      <c r="J1" s="42"/>
    </row>
    <row r="3" spans="1:19" ht="21">
      <c r="A3" s="43"/>
      <c r="B3" s="44" t="s">
        <v>66</v>
      </c>
      <c r="C3" s="44" t="s">
        <v>86</v>
      </c>
      <c r="D3" s="44"/>
      <c r="E3" s="44"/>
      <c r="F3" s="44"/>
      <c r="G3" s="44"/>
      <c r="H3" s="44"/>
      <c r="I3" s="44"/>
      <c r="J3" s="44"/>
      <c r="K3" s="44"/>
      <c r="L3" s="44"/>
      <c r="M3" s="44"/>
      <c r="N3" s="44"/>
      <c r="O3" s="44"/>
      <c r="P3" s="44"/>
      <c r="Q3" s="44"/>
      <c r="R3" s="44"/>
      <c r="S3" s="44"/>
    </row>
    <row r="4" spans="1:19" ht="18">
      <c r="A4" s="43"/>
      <c r="B4" s="45"/>
      <c r="C4" s="43"/>
      <c r="D4" s="43"/>
      <c r="E4" s="43"/>
      <c r="F4" s="43"/>
      <c r="G4" s="43"/>
      <c r="H4" s="43"/>
      <c r="I4" s="43"/>
      <c r="J4" s="43"/>
      <c r="K4" s="43"/>
      <c r="L4" s="43"/>
      <c r="M4" s="43"/>
      <c r="N4" s="43"/>
      <c r="O4" s="43"/>
      <c r="P4" s="43"/>
      <c r="Q4" s="43"/>
      <c r="R4" s="43"/>
      <c r="S4" s="43"/>
    </row>
    <row r="5" spans="1:19">
      <c r="A5" s="43"/>
      <c r="B5" s="43"/>
      <c r="C5" s="43"/>
      <c r="D5" s="43"/>
      <c r="E5" s="43"/>
      <c r="F5" s="43"/>
      <c r="G5" s="43"/>
      <c r="H5" s="43"/>
      <c r="I5" s="43"/>
      <c r="J5" s="43"/>
      <c r="K5" s="43"/>
      <c r="L5" s="43"/>
      <c r="M5" s="43"/>
      <c r="N5" s="43"/>
      <c r="O5" s="43"/>
      <c r="P5" s="43"/>
      <c r="Q5" s="43"/>
      <c r="R5" s="43"/>
      <c r="S5" s="43"/>
    </row>
    <row r="6" spans="1:19" ht="15.6">
      <c r="A6" s="43"/>
      <c r="B6" s="43"/>
      <c r="C6" s="43"/>
      <c r="D6" s="43"/>
      <c r="E6" s="43"/>
      <c r="F6" s="43"/>
      <c r="G6" s="43"/>
      <c r="H6" s="43"/>
      <c r="I6" s="43"/>
      <c r="J6" s="43"/>
      <c r="K6" s="43"/>
      <c r="L6" s="43"/>
      <c r="M6" s="46" t="s">
        <v>87</v>
      </c>
      <c r="N6" s="46"/>
      <c r="O6" s="46" t="s">
        <v>88</v>
      </c>
      <c r="P6" s="47"/>
      <c r="Q6" s="43"/>
      <c r="R6" s="43"/>
      <c r="S6" s="43"/>
    </row>
    <row r="7" spans="1:19" ht="15.6">
      <c r="A7" s="43"/>
      <c r="B7" s="43"/>
      <c r="C7" s="48" t="s">
        <v>114</v>
      </c>
      <c r="D7" s="48"/>
      <c r="E7" s="48"/>
      <c r="F7" s="48"/>
      <c r="G7" s="48"/>
      <c r="H7" s="48"/>
      <c r="I7" s="48"/>
      <c r="J7" s="48"/>
      <c r="K7" s="48"/>
      <c r="L7" s="48"/>
      <c r="M7" s="49"/>
      <c r="N7" s="49"/>
      <c r="O7" s="49"/>
      <c r="P7" s="50"/>
      <c r="Q7" s="43"/>
      <c r="R7" s="43"/>
      <c r="S7" s="43"/>
    </row>
    <row r="8" spans="1:19" ht="15.6">
      <c r="A8" s="43"/>
      <c r="B8" s="43"/>
      <c r="C8" s="48"/>
      <c r="D8" s="48" t="s">
        <v>89</v>
      </c>
      <c r="E8" s="48"/>
      <c r="F8" s="48"/>
      <c r="G8" s="48"/>
      <c r="H8" s="48"/>
      <c r="I8" s="48"/>
      <c r="J8" s="48"/>
      <c r="K8" s="48"/>
      <c r="L8" s="48"/>
      <c r="M8" s="46" t="s">
        <v>113</v>
      </c>
      <c r="N8" s="46"/>
      <c r="O8" s="46" t="str">
        <f>TRIM(M8)</f>
        <v>Anshika gupta</v>
      </c>
      <c r="P8" s="47"/>
      <c r="Q8" s="43"/>
      <c r="R8" s="43"/>
      <c r="S8" s="43"/>
    </row>
    <row r="9" spans="1:19" ht="15.6">
      <c r="A9" s="43"/>
      <c r="B9" s="43"/>
      <c r="C9" s="48"/>
      <c r="D9" s="48" t="s">
        <v>115</v>
      </c>
      <c r="E9" s="48"/>
      <c r="F9" s="48"/>
      <c r="G9" s="48"/>
      <c r="H9" s="48"/>
      <c r="I9" s="48"/>
      <c r="J9" s="48"/>
      <c r="K9" s="48"/>
      <c r="L9" s="48"/>
      <c r="M9" s="51"/>
      <c r="N9" s="51"/>
      <c r="O9" s="51"/>
      <c r="P9" s="47"/>
      <c r="Q9" s="43"/>
      <c r="R9" s="43"/>
      <c r="S9" s="43"/>
    </row>
    <row r="10" spans="1:19" ht="15.6">
      <c r="A10" s="43"/>
      <c r="B10" s="43"/>
      <c r="C10" s="48"/>
      <c r="D10" s="48" t="s">
        <v>90</v>
      </c>
      <c r="E10" s="48"/>
      <c r="F10" s="48"/>
      <c r="G10" s="48"/>
      <c r="H10" s="48"/>
      <c r="I10" s="48"/>
      <c r="J10" s="48"/>
      <c r="K10" s="48"/>
      <c r="L10" s="48"/>
      <c r="M10" s="48"/>
      <c r="N10" s="48"/>
      <c r="O10" s="43"/>
      <c r="P10" s="43"/>
      <c r="Q10" s="43"/>
      <c r="R10" s="43"/>
      <c r="S10" s="43"/>
    </row>
    <row r="11" spans="1:19" ht="15.6">
      <c r="A11" s="43"/>
      <c r="B11" s="43"/>
      <c r="C11" s="48"/>
      <c r="D11" s="48"/>
      <c r="E11" s="48"/>
      <c r="F11" s="48"/>
      <c r="G11" s="48"/>
      <c r="H11" s="48"/>
      <c r="I11" s="48"/>
      <c r="J11" s="48"/>
      <c r="K11" s="48"/>
      <c r="L11" s="48"/>
      <c r="M11" s="48"/>
      <c r="N11" s="48"/>
      <c r="O11" s="43"/>
      <c r="P11" s="43"/>
      <c r="Q11" s="43"/>
      <c r="R11" s="43"/>
      <c r="S11" s="43"/>
    </row>
    <row r="12" spans="1:19" ht="15.6">
      <c r="A12" s="43"/>
      <c r="B12" s="43"/>
      <c r="C12" s="48"/>
      <c r="D12" s="48" t="s">
        <v>91</v>
      </c>
      <c r="E12" s="48"/>
      <c r="F12" s="48"/>
      <c r="G12" s="48"/>
      <c r="H12" s="48"/>
      <c r="I12" s="48"/>
      <c r="J12" s="48"/>
      <c r="K12" s="48"/>
      <c r="L12" s="48"/>
      <c r="M12" s="48"/>
      <c r="N12" s="48"/>
      <c r="O12" s="43"/>
      <c r="P12" s="43"/>
      <c r="Q12" s="43"/>
      <c r="R12" s="43"/>
      <c r="S12" s="43"/>
    </row>
    <row r="13" spans="1:19" ht="15.6">
      <c r="A13" s="43"/>
      <c r="B13" s="43"/>
      <c r="C13" s="48"/>
      <c r="D13" s="48"/>
      <c r="E13" s="48"/>
      <c r="F13" s="48"/>
      <c r="G13" s="48"/>
      <c r="H13" s="48"/>
      <c r="I13" s="48"/>
      <c r="J13" s="48"/>
      <c r="K13" s="48"/>
      <c r="L13" s="48"/>
      <c r="M13" s="43"/>
      <c r="N13" s="43"/>
      <c r="O13" s="43"/>
      <c r="P13" s="43"/>
      <c r="Q13" s="43"/>
      <c r="R13" s="43"/>
      <c r="S13" s="43"/>
    </row>
    <row r="14" spans="1:19" ht="15.6">
      <c r="A14" s="43"/>
      <c r="B14" s="43"/>
      <c r="C14" s="48" t="s">
        <v>92</v>
      </c>
      <c r="D14" s="48"/>
      <c r="E14" s="48"/>
      <c r="F14" s="48"/>
      <c r="G14" s="48"/>
      <c r="H14" s="48"/>
      <c r="I14" s="48"/>
      <c r="J14" s="48"/>
      <c r="K14" s="48"/>
      <c r="L14" s="48"/>
      <c r="M14" s="46" t="s">
        <v>93</v>
      </c>
      <c r="N14" s="46" t="s">
        <v>94</v>
      </c>
      <c r="O14" s="43"/>
      <c r="P14" s="43"/>
      <c r="Q14" s="43"/>
      <c r="R14" s="43"/>
      <c r="S14" s="43"/>
    </row>
    <row r="15" spans="1:19" ht="15.6">
      <c r="A15" s="43"/>
      <c r="B15" s="43"/>
      <c r="C15" s="48"/>
      <c r="D15" s="48" t="s">
        <v>95</v>
      </c>
      <c r="E15" s="48"/>
      <c r="F15" s="48"/>
      <c r="G15" s="48"/>
      <c r="H15" s="48"/>
      <c r="I15" s="48"/>
      <c r="J15" s="48"/>
      <c r="K15" s="48"/>
      <c r="L15" s="48"/>
      <c r="M15" s="46" t="s">
        <v>116</v>
      </c>
      <c r="N15" s="46" t="str">
        <f>LEFT(M15,4)</f>
        <v>Ansh</v>
      </c>
      <c r="O15" s="43"/>
      <c r="P15" s="43"/>
      <c r="Q15" s="43"/>
      <c r="R15" s="43"/>
      <c r="S15" s="43"/>
    </row>
    <row r="16" spans="1:19" ht="15.6">
      <c r="A16" s="43"/>
      <c r="B16" s="43"/>
      <c r="C16" s="48"/>
      <c r="D16" s="48" t="s">
        <v>96</v>
      </c>
      <c r="E16" s="48"/>
      <c r="F16" s="48"/>
      <c r="G16" s="48"/>
      <c r="H16" s="48"/>
      <c r="I16" s="48"/>
      <c r="J16" s="48"/>
      <c r="K16" s="48"/>
      <c r="L16" s="48"/>
      <c r="M16" s="48"/>
      <c r="N16" s="48"/>
      <c r="O16" s="48"/>
      <c r="P16" s="43"/>
      <c r="Q16" s="43"/>
      <c r="R16" s="43"/>
      <c r="S16" s="43"/>
    </row>
    <row r="17" spans="1:19" ht="15.6">
      <c r="A17" s="43"/>
      <c r="B17" s="43"/>
      <c r="C17" s="48"/>
      <c r="D17" s="48" t="s">
        <v>97</v>
      </c>
      <c r="E17" s="48"/>
      <c r="F17" s="48"/>
      <c r="G17" s="48"/>
      <c r="H17" s="48"/>
      <c r="I17" s="48"/>
      <c r="J17" s="48"/>
      <c r="K17" s="48"/>
      <c r="L17" s="48"/>
      <c r="M17" s="43"/>
      <c r="N17" s="43"/>
      <c r="O17" s="43"/>
      <c r="P17" s="43"/>
      <c r="Q17" s="43"/>
      <c r="R17" s="43"/>
      <c r="S17" s="43"/>
    </row>
    <row r="18" spans="1:19" ht="15.6">
      <c r="A18" s="43"/>
      <c r="B18" s="43"/>
      <c r="C18" s="48" t="s">
        <v>93</v>
      </c>
      <c r="D18" s="48" t="s">
        <v>117</v>
      </c>
      <c r="E18" s="48"/>
      <c r="F18" s="48"/>
      <c r="G18" s="48"/>
      <c r="H18" s="48"/>
      <c r="I18" s="48"/>
      <c r="J18" s="48"/>
      <c r="K18" s="48"/>
      <c r="L18" s="48"/>
      <c r="M18" s="43"/>
      <c r="N18" s="43"/>
      <c r="O18" s="43"/>
      <c r="P18" s="43"/>
      <c r="Q18" s="43"/>
      <c r="R18" s="43"/>
      <c r="S18" s="43"/>
    </row>
    <row r="19" spans="1:19" ht="15.6">
      <c r="A19" s="43"/>
      <c r="B19" s="43"/>
      <c r="C19" s="48"/>
      <c r="D19" s="48"/>
      <c r="E19" s="48"/>
      <c r="F19" s="48"/>
      <c r="G19" s="48"/>
      <c r="H19" s="48"/>
      <c r="I19" s="48"/>
      <c r="J19" s="48"/>
      <c r="K19" s="48"/>
      <c r="L19" s="48"/>
      <c r="M19" s="48"/>
      <c r="N19" s="48"/>
      <c r="O19" s="43"/>
      <c r="P19" s="43"/>
      <c r="Q19" s="43"/>
      <c r="R19" s="43"/>
      <c r="S19" s="43"/>
    </row>
    <row r="20" spans="1:19" ht="15.6">
      <c r="A20" s="43"/>
      <c r="B20" s="43"/>
      <c r="C20" s="48"/>
      <c r="D20" s="48"/>
      <c r="E20" s="48"/>
      <c r="F20" s="48"/>
      <c r="G20" s="48"/>
      <c r="H20" s="48"/>
      <c r="I20" s="48"/>
      <c r="J20" s="48"/>
      <c r="K20" s="48"/>
      <c r="L20" s="48"/>
      <c r="M20" s="48"/>
      <c r="N20" s="48"/>
      <c r="O20" s="43"/>
      <c r="P20" s="43"/>
      <c r="Q20" s="43"/>
      <c r="R20" s="43"/>
      <c r="S20" s="43"/>
    </row>
    <row r="21" spans="1:19" ht="15.6">
      <c r="A21" s="43"/>
      <c r="B21" s="43"/>
      <c r="C21" s="48" t="s">
        <v>98</v>
      </c>
      <c r="D21" s="48"/>
      <c r="E21" s="48"/>
      <c r="F21" s="48"/>
      <c r="G21" s="48"/>
      <c r="H21" s="48"/>
      <c r="I21" s="48"/>
      <c r="J21" s="48"/>
      <c r="K21" s="48"/>
      <c r="L21" s="48"/>
      <c r="M21" s="46" t="s">
        <v>93</v>
      </c>
      <c r="N21" s="46" t="s">
        <v>99</v>
      </c>
      <c r="O21" s="43"/>
      <c r="P21" s="43"/>
      <c r="Q21" s="43"/>
      <c r="R21" s="43"/>
      <c r="S21" s="43"/>
    </row>
    <row r="22" spans="1:19" ht="15.6">
      <c r="A22" s="43"/>
      <c r="B22" s="43"/>
      <c r="C22" s="48"/>
      <c r="D22" s="48" t="s">
        <v>100</v>
      </c>
      <c r="E22" s="48"/>
      <c r="F22" s="48"/>
      <c r="G22" s="48"/>
      <c r="H22" s="48"/>
      <c r="I22" s="48"/>
      <c r="J22" s="48"/>
      <c r="K22" s="48"/>
      <c r="L22" s="48"/>
      <c r="M22" s="46" t="s">
        <v>118</v>
      </c>
      <c r="N22" s="46" t="str">
        <f>RIGHT(M22,3)</f>
        <v>ika</v>
      </c>
      <c r="O22" s="43"/>
      <c r="P22" s="43"/>
      <c r="Q22" s="43"/>
      <c r="R22" s="43"/>
      <c r="S22" s="43"/>
    </row>
    <row r="23" spans="1:19" ht="15.6">
      <c r="A23" s="43"/>
      <c r="B23" s="43"/>
      <c r="C23" s="48"/>
      <c r="D23" s="48" t="s">
        <v>101</v>
      </c>
      <c r="E23" s="48"/>
      <c r="F23" s="48"/>
      <c r="G23" s="48"/>
      <c r="H23" s="48"/>
      <c r="I23" s="48"/>
      <c r="J23" s="48"/>
      <c r="K23" s="48"/>
      <c r="L23" s="48"/>
      <c r="M23" s="48"/>
      <c r="N23" s="48"/>
      <c r="O23" s="43"/>
      <c r="P23" s="43"/>
      <c r="Q23" s="43"/>
      <c r="R23" s="43"/>
      <c r="S23" s="43"/>
    </row>
    <row r="24" spans="1:19" ht="15.6">
      <c r="A24" s="43"/>
      <c r="B24" s="43"/>
      <c r="C24" s="48"/>
      <c r="D24" s="48" t="s">
        <v>102</v>
      </c>
      <c r="E24" s="48"/>
      <c r="F24" s="48"/>
      <c r="G24" s="48"/>
      <c r="H24" s="48"/>
      <c r="I24" s="48"/>
      <c r="J24" s="48"/>
      <c r="K24" s="48"/>
      <c r="L24" s="48"/>
      <c r="M24" s="48"/>
      <c r="N24" s="48"/>
      <c r="O24" s="43"/>
      <c r="P24" s="43"/>
      <c r="Q24" s="43"/>
      <c r="R24" s="43"/>
      <c r="S24" s="43"/>
    </row>
    <row r="25" spans="1:19" ht="15.6">
      <c r="A25" s="43"/>
      <c r="B25" s="43"/>
      <c r="C25" s="48" t="s">
        <v>93</v>
      </c>
      <c r="D25" s="48" t="s">
        <v>119</v>
      </c>
      <c r="E25" s="48"/>
      <c r="F25" s="48"/>
      <c r="G25" s="48"/>
      <c r="H25" s="48"/>
      <c r="I25" s="48"/>
      <c r="J25" s="48"/>
      <c r="K25" s="48"/>
      <c r="L25" s="48"/>
      <c r="M25" s="48"/>
      <c r="N25" s="48"/>
      <c r="O25" s="48"/>
      <c r="P25" s="43"/>
      <c r="Q25" s="43"/>
      <c r="R25" s="43"/>
      <c r="S25" s="43"/>
    </row>
    <row r="26" spans="1:19" ht="15.6">
      <c r="A26" s="43"/>
      <c r="B26" s="43"/>
      <c r="C26" s="48"/>
      <c r="D26" s="48"/>
      <c r="E26" s="48"/>
      <c r="F26" s="48"/>
      <c r="G26" s="48"/>
      <c r="H26" s="48"/>
      <c r="I26" s="48"/>
      <c r="J26" s="48"/>
      <c r="K26" s="48"/>
      <c r="L26" s="48"/>
      <c r="M26" s="48"/>
      <c r="N26" s="48"/>
      <c r="O26" s="48"/>
      <c r="P26" s="43"/>
      <c r="Q26" s="43"/>
      <c r="R26" s="43"/>
      <c r="S26" s="43"/>
    </row>
    <row r="27" spans="1:19" ht="15.6">
      <c r="A27" s="43"/>
      <c r="B27" s="43"/>
      <c r="C27" s="48"/>
      <c r="D27" s="48"/>
      <c r="E27" s="48"/>
      <c r="F27" s="48"/>
      <c r="G27" s="48"/>
      <c r="H27" s="48"/>
      <c r="I27" s="48"/>
      <c r="J27" s="48"/>
      <c r="K27" s="48"/>
      <c r="L27" s="48"/>
      <c r="M27" s="48"/>
      <c r="N27" s="48"/>
      <c r="O27" s="48"/>
      <c r="P27" s="43"/>
      <c r="Q27" s="43"/>
      <c r="R27" s="43"/>
      <c r="S27" s="43"/>
    </row>
    <row r="28" spans="1:19" ht="15.6">
      <c r="A28" s="43"/>
      <c r="B28" s="43"/>
      <c r="C28" s="48" t="s">
        <v>103</v>
      </c>
      <c r="D28" s="48"/>
      <c r="E28" s="48"/>
      <c r="F28" s="48"/>
      <c r="G28" s="48"/>
      <c r="H28" s="48"/>
      <c r="I28" s="48"/>
      <c r="J28" s="48"/>
      <c r="K28" s="48"/>
      <c r="L28" s="48"/>
      <c r="M28" s="48"/>
      <c r="N28" s="48"/>
      <c r="O28" s="48"/>
      <c r="P28" s="43"/>
      <c r="Q28" s="43"/>
      <c r="R28" s="43"/>
      <c r="S28" s="43"/>
    </row>
    <row r="29" spans="1:19" ht="15.6">
      <c r="A29" s="43"/>
      <c r="B29" s="43"/>
      <c r="C29" s="48"/>
      <c r="D29" s="48" t="s">
        <v>104</v>
      </c>
      <c r="E29" s="48"/>
      <c r="F29" s="48"/>
      <c r="G29" s="48"/>
      <c r="H29" s="48"/>
      <c r="I29" s="48"/>
      <c r="J29" s="48"/>
      <c r="K29" s="48"/>
      <c r="L29" s="48"/>
      <c r="M29" s="46" t="s">
        <v>93</v>
      </c>
      <c r="N29" s="46" t="s">
        <v>105</v>
      </c>
      <c r="O29" s="48"/>
      <c r="P29" s="43"/>
      <c r="Q29" s="43"/>
      <c r="R29" s="43"/>
      <c r="S29" s="43"/>
    </row>
    <row r="30" spans="1:19" ht="15.6">
      <c r="A30" s="43"/>
      <c r="B30" s="43"/>
      <c r="C30" s="48"/>
      <c r="D30" s="48" t="s">
        <v>106</v>
      </c>
      <c r="E30" s="48"/>
      <c r="F30" s="48"/>
      <c r="G30" s="48"/>
      <c r="H30" s="48"/>
      <c r="I30" s="48"/>
      <c r="J30" s="48"/>
      <c r="K30" s="48"/>
      <c r="L30" s="48"/>
      <c r="M30" s="46" t="s">
        <v>116</v>
      </c>
      <c r="N30" s="46" t="str">
        <f>MID(M30,3,4)</f>
        <v>shik</v>
      </c>
      <c r="O30" s="48"/>
      <c r="P30" s="43"/>
      <c r="Q30" s="43"/>
      <c r="R30" s="43"/>
      <c r="S30" s="43"/>
    </row>
    <row r="31" spans="1:19" ht="15.6">
      <c r="A31" s="43"/>
      <c r="B31" s="43"/>
      <c r="C31" s="48" t="s">
        <v>93</v>
      </c>
      <c r="D31" s="48" t="s">
        <v>120</v>
      </c>
      <c r="E31" s="48"/>
      <c r="F31" s="48"/>
      <c r="G31" s="48"/>
      <c r="H31" s="48"/>
      <c r="I31" s="48"/>
      <c r="J31" s="48"/>
      <c r="K31" s="48"/>
      <c r="L31" s="48"/>
      <c r="M31" s="48"/>
      <c r="N31" s="48"/>
      <c r="O31" s="48"/>
      <c r="P31" s="43"/>
      <c r="Q31" s="43"/>
      <c r="R31" s="43"/>
      <c r="S31" s="43"/>
    </row>
    <row r="32" spans="1:19" ht="15.6">
      <c r="A32" s="43"/>
      <c r="B32" s="43"/>
      <c r="C32" s="43"/>
      <c r="D32" s="43"/>
      <c r="E32" s="43"/>
      <c r="F32" s="43"/>
      <c r="G32" s="43"/>
      <c r="H32" s="43"/>
      <c r="I32" s="43"/>
      <c r="J32" s="48"/>
      <c r="K32" s="48"/>
      <c r="L32" s="48"/>
      <c r="M32" s="48"/>
      <c r="N32" s="48"/>
      <c r="O32" s="48"/>
      <c r="P32" s="43"/>
      <c r="Q32" s="43"/>
      <c r="R32" s="43"/>
      <c r="S32" s="43"/>
    </row>
    <row r="33" spans="1:19" ht="15.6">
      <c r="A33" s="43"/>
      <c r="B33" s="43"/>
      <c r="C33" s="48"/>
      <c r="D33" s="48"/>
      <c r="E33" s="48"/>
      <c r="F33" s="48"/>
      <c r="G33" s="48"/>
      <c r="H33" s="48"/>
      <c r="I33" s="48"/>
      <c r="J33" s="48"/>
      <c r="K33" s="48"/>
      <c r="L33" s="48"/>
      <c r="M33" s="48"/>
      <c r="N33" s="48"/>
      <c r="O33" s="48"/>
      <c r="P33" s="43"/>
      <c r="Q33" s="43"/>
      <c r="R33" s="43"/>
      <c r="S33" s="43"/>
    </row>
    <row r="34" spans="1:19" ht="15.6">
      <c r="A34" s="43"/>
      <c r="B34" s="43"/>
      <c r="C34" s="48" t="s">
        <v>107</v>
      </c>
      <c r="D34" s="48"/>
      <c r="E34" s="48"/>
      <c r="F34" s="48"/>
      <c r="G34" s="48"/>
      <c r="H34" s="48"/>
      <c r="I34" s="48"/>
      <c r="J34" s="48"/>
      <c r="K34" s="48"/>
      <c r="L34" s="48"/>
      <c r="M34" s="46" t="s">
        <v>108</v>
      </c>
      <c r="N34" s="46" t="s">
        <v>109</v>
      </c>
      <c r="O34" s="46" t="s">
        <v>110</v>
      </c>
      <c r="P34" s="43"/>
      <c r="Q34" s="43"/>
      <c r="R34" s="43"/>
      <c r="S34" s="43"/>
    </row>
    <row r="35" spans="1:19" ht="15.6">
      <c r="A35" s="43"/>
      <c r="B35" s="43"/>
      <c r="C35" s="48"/>
      <c r="D35" s="48" t="s">
        <v>111</v>
      </c>
      <c r="E35" s="48"/>
      <c r="F35" s="48"/>
      <c r="G35" s="48"/>
      <c r="H35" s="48"/>
      <c r="I35" s="48"/>
      <c r="J35" s="48"/>
      <c r="K35" s="48"/>
      <c r="L35" s="48"/>
      <c r="M35" s="46" t="s">
        <v>116</v>
      </c>
      <c r="N35" s="46" t="s">
        <v>121</v>
      </c>
      <c r="O35" s="46" t="str">
        <f>_xlfn.CONCAT(M35,N35)</f>
        <v>AnshikaGupta</v>
      </c>
      <c r="P35" s="43"/>
      <c r="Q35" s="43"/>
      <c r="R35" s="43"/>
      <c r="S35" s="43"/>
    </row>
    <row r="36" spans="1:19" ht="15.6">
      <c r="A36" s="43"/>
      <c r="B36" s="43"/>
      <c r="C36" s="48"/>
      <c r="D36" s="48" t="s">
        <v>112</v>
      </c>
      <c r="E36" s="48"/>
      <c r="F36" s="48"/>
      <c r="G36" s="48"/>
      <c r="H36" s="48"/>
      <c r="I36" s="48"/>
      <c r="J36" s="48"/>
      <c r="K36" s="48"/>
      <c r="L36" s="48"/>
      <c r="M36" s="48"/>
      <c r="N36" s="48"/>
      <c r="O36" s="48"/>
      <c r="P36" s="43"/>
      <c r="Q36" s="43"/>
      <c r="R36" s="43"/>
      <c r="S36" s="43"/>
    </row>
    <row r="37" spans="1:19" ht="15.6">
      <c r="A37" s="43"/>
      <c r="B37" s="43"/>
      <c r="C37" s="48"/>
      <c r="D37" s="48"/>
      <c r="E37" s="48"/>
      <c r="F37" s="48"/>
      <c r="G37" s="48"/>
      <c r="H37" s="48"/>
      <c r="I37" s="48"/>
      <c r="J37" s="48"/>
      <c r="K37" s="48"/>
      <c r="L37" s="48"/>
      <c r="M37" s="48"/>
      <c r="N37" s="48"/>
      <c r="O37" s="48"/>
      <c r="P37" s="43"/>
      <c r="Q37" s="43"/>
      <c r="R37" s="43"/>
      <c r="S37" s="43"/>
    </row>
    <row r="38" spans="1:19" ht="15.6">
      <c r="A38" s="43"/>
      <c r="B38" s="43"/>
      <c r="C38" s="48" t="s">
        <v>87</v>
      </c>
      <c r="D38" s="48" t="s">
        <v>122</v>
      </c>
      <c r="E38" s="48"/>
      <c r="F38" s="48"/>
      <c r="G38" s="48"/>
      <c r="H38" s="48"/>
      <c r="I38" s="48"/>
      <c r="J38" s="48"/>
      <c r="K38" s="48"/>
      <c r="L38" s="48"/>
      <c r="M38" s="48"/>
      <c r="N38" s="48"/>
      <c r="O38" s="48"/>
      <c r="P38" s="43"/>
      <c r="Q38" s="43"/>
      <c r="R38" s="43"/>
      <c r="S38" s="43"/>
    </row>
    <row r="39" spans="1:19">
      <c r="A39" s="43"/>
      <c r="B39" s="43"/>
      <c r="C39" s="43"/>
      <c r="D39" s="43"/>
      <c r="E39" s="43"/>
      <c r="F39" s="43"/>
      <c r="G39" s="43"/>
      <c r="H39" s="43"/>
      <c r="I39" s="43"/>
      <c r="J39" s="43"/>
      <c r="K39" s="43"/>
      <c r="L39" s="43"/>
      <c r="M39" s="43"/>
      <c r="N39" s="43"/>
      <c r="O39" s="43"/>
      <c r="P39" s="43"/>
      <c r="Q39" s="43"/>
      <c r="R39" s="43"/>
      <c r="S39" s="43"/>
    </row>
    <row r="40" spans="1:19">
      <c r="A40" s="41"/>
      <c r="B40" s="41"/>
      <c r="C40" s="41"/>
      <c r="D40" s="41"/>
      <c r="E40" s="41"/>
      <c r="F40" s="41"/>
      <c r="G40" s="41"/>
      <c r="H40" s="41"/>
      <c r="I40" s="41"/>
      <c r="J40" s="41"/>
      <c r="K40" s="41"/>
      <c r="L40" s="41"/>
      <c r="M40" s="41"/>
      <c r="N40" s="41"/>
      <c r="O40" s="41"/>
      <c r="P40" s="41"/>
      <c r="Q40" s="41"/>
      <c r="R40" s="41"/>
      <c r="S40" s="41"/>
    </row>
    <row r="41" spans="1:19">
      <c r="A41" s="41"/>
      <c r="B41" s="41"/>
      <c r="C41" s="41"/>
      <c r="D41" s="41"/>
      <c r="E41" s="41"/>
      <c r="F41" s="41"/>
      <c r="G41" s="41"/>
      <c r="H41" s="41"/>
      <c r="I41" s="41"/>
      <c r="J41" s="41"/>
      <c r="K41" s="41"/>
      <c r="L41" s="41"/>
      <c r="M41" s="41"/>
      <c r="N41" s="41"/>
      <c r="O41" s="41"/>
      <c r="P41" s="41"/>
      <c r="Q41" s="41"/>
      <c r="R41" s="41"/>
      <c r="S41" s="41"/>
    </row>
    <row r="42" spans="1:19">
      <c r="A42" s="41"/>
      <c r="B42" s="41"/>
      <c r="C42" s="41"/>
      <c r="D42" s="41"/>
      <c r="E42" s="41"/>
      <c r="F42" s="41"/>
      <c r="G42" s="41"/>
      <c r="H42" s="41"/>
      <c r="I42" s="41"/>
      <c r="J42" s="41"/>
      <c r="K42" s="41"/>
      <c r="L42" s="41"/>
      <c r="M42" s="41"/>
      <c r="N42" s="41"/>
      <c r="O42" s="41"/>
      <c r="P42" s="41"/>
      <c r="Q42" s="41"/>
      <c r="R42" s="41"/>
      <c r="S42" s="41"/>
    </row>
    <row r="43" spans="1:19">
      <c r="A43" s="41"/>
      <c r="B43" s="41"/>
      <c r="C43" s="41"/>
      <c r="D43" s="41"/>
      <c r="E43" s="41"/>
      <c r="F43" s="41"/>
      <c r="G43" s="41"/>
      <c r="H43" s="41"/>
      <c r="I43" s="41"/>
      <c r="J43" s="41"/>
      <c r="K43" s="41"/>
      <c r="L43" s="41"/>
      <c r="M43" s="41"/>
      <c r="N43" s="41"/>
      <c r="O43" s="41"/>
      <c r="P43" s="41"/>
      <c r="Q43" s="41"/>
      <c r="R43" s="41"/>
      <c r="S43" s="41"/>
    </row>
    <row r="44" spans="1:19">
      <c r="A44" s="41"/>
      <c r="B44" s="41"/>
      <c r="C44" s="41"/>
      <c r="D44" s="41"/>
      <c r="E44" s="41"/>
      <c r="F44" s="41"/>
      <c r="G44" s="41"/>
      <c r="H44" s="41"/>
      <c r="I44" s="41"/>
      <c r="J44" s="41"/>
      <c r="K44" s="41"/>
      <c r="L44" s="41"/>
      <c r="M44" s="41"/>
      <c r="N44" s="41"/>
      <c r="O44" s="41"/>
      <c r="P44" s="41"/>
      <c r="Q44" s="41"/>
      <c r="R44" s="41"/>
      <c r="S44" s="41"/>
    </row>
    <row r="45" spans="1:19">
      <c r="A45" s="41"/>
      <c r="B45" s="41"/>
      <c r="C45" s="41"/>
      <c r="D45" s="41"/>
      <c r="E45" s="41"/>
      <c r="F45" s="41"/>
      <c r="G45" s="41"/>
      <c r="H45" s="41"/>
      <c r="I45" s="41"/>
      <c r="J45" s="41"/>
      <c r="K45" s="41"/>
      <c r="L45" s="41"/>
      <c r="M45" s="41"/>
      <c r="N45" s="41"/>
      <c r="O45" s="41"/>
      <c r="P45" s="41"/>
      <c r="Q45" s="41"/>
      <c r="R45" s="41"/>
      <c r="S45" s="41"/>
    </row>
    <row r="46" spans="1:19">
      <c r="A46" s="41"/>
      <c r="B46" s="41"/>
      <c r="C46" s="41"/>
      <c r="D46" s="41"/>
      <c r="E46" s="41"/>
      <c r="F46" s="41"/>
      <c r="G46" s="41"/>
      <c r="H46" s="41"/>
      <c r="I46" s="41"/>
      <c r="J46" s="41"/>
      <c r="K46" s="41"/>
      <c r="L46" s="41"/>
      <c r="M46" s="41"/>
      <c r="N46" s="41"/>
      <c r="O46" s="41"/>
      <c r="P46" s="41"/>
      <c r="Q46" s="41"/>
      <c r="R46" s="41"/>
      <c r="S46" s="41"/>
    </row>
    <row r="47" spans="1:19">
      <c r="A47" s="41"/>
      <c r="B47" s="41"/>
      <c r="C47" s="41"/>
      <c r="D47" s="41"/>
      <c r="E47" s="41"/>
      <c r="F47" s="41"/>
      <c r="G47" s="41"/>
      <c r="H47" s="41"/>
      <c r="I47" s="41"/>
      <c r="J47" s="41"/>
      <c r="K47" s="41"/>
      <c r="L47" s="41"/>
      <c r="M47" s="41"/>
      <c r="N47" s="41"/>
      <c r="O47" s="41"/>
      <c r="P47" s="41"/>
      <c r="Q47" s="41"/>
      <c r="R47" s="41"/>
      <c r="S47" s="41"/>
    </row>
    <row r="48" spans="1:19">
      <c r="A48" s="41"/>
      <c r="B48" s="41"/>
      <c r="C48" s="41"/>
      <c r="D48" s="41"/>
      <c r="E48" s="41"/>
      <c r="F48" s="41"/>
      <c r="G48" s="41"/>
      <c r="H48" s="41"/>
      <c r="I48" s="41"/>
      <c r="J48" s="41"/>
      <c r="K48" s="41"/>
      <c r="L48" s="41"/>
      <c r="M48" s="41"/>
      <c r="N48" s="41"/>
      <c r="O48" s="41"/>
      <c r="P48" s="41"/>
      <c r="Q48" s="41"/>
      <c r="R48" s="41"/>
      <c r="S48" s="41"/>
    </row>
    <row r="49" spans="1:19">
      <c r="A49" s="41"/>
      <c r="B49" s="41"/>
      <c r="C49" s="41"/>
      <c r="D49" s="41"/>
      <c r="E49" s="41"/>
      <c r="F49" s="41"/>
      <c r="G49" s="41"/>
      <c r="H49" s="41"/>
      <c r="I49" s="41"/>
      <c r="J49" s="41"/>
      <c r="K49" s="41"/>
      <c r="L49" s="41"/>
      <c r="M49" s="41"/>
      <c r="N49" s="41"/>
      <c r="O49" s="41"/>
      <c r="P49" s="41"/>
      <c r="Q49" s="41"/>
      <c r="R49" s="41"/>
      <c r="S49" s="41"/>
    </row>
    <row r="50" spans="1:19">
      <c r="A50" s="41"/>
      <c r="B50" s="41"/>
      <c r="C50" s="41"/>
      <c r="D50" s="41"/>
      <c r="E50" s="41"/>
      <c r="F50" s="41"/>
      <c r="G50" s="41"/>
      <c r="H50" s="41"/>
      <c r="I50" s="41"/>
      <c r="J50" s="41"/>
      <c r="K50" s="41"/>
      <c r="L50" s="41"/>
      <c r="M50" s="41"/>
      <c r="N50" s="41"/>
      <c r="O50" s="41"/>
      <c r="P50" s="41"/>
      <c r="Q50" s="41"/>
      <c r="R50" s="41"/>
      <c r="S50" s="41"/>
    </row>
    <row r="51" spans="1:19">
      <c r="A51" s="41"/>
      <c r="B51" s="41"/>
      <c r="C51" s="41"/>
      <c r="D51" s="41"/>
      <c r="E51" s="41"/>
      <c r="F51" s="41"/>
      <c r="G51" s="41"/>
      <c r="H51" s="41"/>
      <c r="I51" s="41"/>
      <c r="J51" s="41"/>
      <c r="K51" s="41"/>
      <c r="L51" s="41"/>
      <c r="M51" s="41"/>
      <c r="N51" s="41"/>
      <c r="O51" s="41"/>
      <c r="P51" s="41"/>
      <c r="Q51" s="41"/>
      <c r="R51" s="41"/>
      <c r="S51" s="41"/>
    </row>
    <row r="52" spans="1:19">
      <c r="A52" s="41"/>
      <c r="B52" s="41"/>
      <c r="C52" s="41"/>
      <c r="D52" s="41"/>
      <c r="E52" s="41"/>
      <c r="F52" s="41"/>
      <c r="G52" s="41"/>
      <c r="H52" s="41"/>
      <c r="I52" s="41"/>
      <c r="J52" s="41"/>
      <c r="K52" s="41"/>
      <c r="L52" s="41"/>
      <c r="M52" s="41"/>
      <c r="N52" s="41"/>
      <c r="O52" s="41"/>
      <c r="P52" s="41"/>
      <c r="Q52" s="41"/>
      <c r="R52" s="41"/>
      <c r="S52" s="41"/>
    </row>
    <row r="53" spans="1:19">
      <c r="A53" s="41"/>
      <c r="B53" s="41"/>
      <c r="C53" s="41"/>
      <c r="D53" s="41"/>
      <c r="E53" s="41"/>
      <c r="F53" s="41"/>
      <c r="G53" s="41"/>
      <c r="H53" s="41"/>
      <c r="I53" s="41"/>
      <c r="J53" s="41"/>
      <c r="K53" s="41"/>
      <c r="L53" s="41"/>
      <c r="M53" s="41"/>
      <c r="N53" s="41"/>
      <c r="O53" s="41"/>
      <c r="P53" s="41"/>
      <c r="Q53" s="41"/>
      <c r="R53" s="41"/>
      <c r="S53" s="41"/>
    </row>
    <row r="54" spans="1:19">
      <c r="A54" s="41"/>
      <c r="B54" s="41"/>
      <c r="C54" s="41"/>
      <c r="D54" s="41"/>
      <c r="E54" s="41"/>
      <c r="F54" s="41"/>
      <c r="G54" s="41"/>
      <c r="H54" s="41"/>
      <c r="I54" s="41"/>
      <c r="J54" s="41"/>
      <c r="K54" s="41"/>
      <c r="L54" s="41"/>
      <c r="M54" s="41"/>
      <c r="N54" s="41"/>
      <c r="O54" s="41"/>
      <c r="P54" s="41"/>
      <c r="Q54" s="41"/>
      <c r="R54" s="41"/>
      <c r="S54" s="41"/>
    </row>
    <row r="55" spans="1:19">
      <c r="A55" s="41"/>
      <c r="B55" s="41"/>
      <c r="C55" s="41"/>
      <c r="D55" s="41"/>
      <c r="E55" s="41"/>
      <c r="F55" s="41"/>
      <c r="G55" s="41"/>
      <c r="H55" s="41"/>
      <c r="I55" s="41"/>
      <c r="J55" s="41"/>
      <c r="K55" s="41"/>
      <c r="L55" s="41"/>
      <c r="M55" s="41"/>
      <c r="N55" s="41"/>
      <c r="O55" s="41"/>
      <c r="P55" s="41"/>
      <c r="Q55" s="41"/>
      <c r="R55" s="41"/>
      <c r="S55" s="41"/>
    </row>
    <row r="56" spans="1:19">
      <c r="A56" s="41"/>
      <c r="B56" s="41"/>
      <c r="C56" s="41"/>
      <c r="D56" s="41"/>
      <c r="E56" s="41"/>
      <c r="F56" s="41"/>
      <c r="G56" s="41"/>
      <c r="H56" s="41"/>
      <c r="I56" s="41"/>
      <c r="J56" s="41"/>
      <c r="K56" s="41"/>
      <c r="L56" s="41"/>
      <c r="M56" s="41"/>
      <c r="N56" s="41"/>
      <c r="O56" s="41"/>
      <c r="P56" s="41"/>
      <c r="Q56" s="41"/>
      <c r="R56" s="41"/>
      <c r="S56" s="41"/>
    </row>
    <row r="57" spans="1:19">
      <c r="A57" s="41"/>
      <c r="B57" s="41"/>
      <c r="C57" s="41"/>
      <c r="D57" s="41"/>
      <c r="E57" s="41"/>
      <c r="F57" s="41"/>
      <c r="G57" s="41"/>
      <c r="H57" s="41"/>
      <c r="I57" s="41"/>
      <c r="J57" s="41"/>
      <c r="K57" s="41"/>
      <c r="L57" s="41"/>
      <c r="M57" s="41"/>
      <c r="N57" s="41"/>
      <c r="O57" s="41"/>
      <c r="P57" s="41"/>
      <c r="Q57" s="41"/>
      <c r="R57" s="41"/>
      <c r="S57" s="41"/>
    </row>
    <row r="58" spans="1:19">
      <c r="A58" s="41"/>
      <c r="B58" s="41"/>
      <c r="C58" s="41"/>
      <c r="D58" s="41"/>
      <c r="E58" s="41"/>
      <c r="F58" s="41"/>
      <c r="G58" s="41"/>
      <c r="H58" s="41"/>
      <c r="I58" s="41"/>
      <c r="J58" s="41"/>
      <c r="K58" s="41"/>
      <c r="L58" s="41"/>
      <c r="M58" s="41"/>
      <c r="N58" s="41"/>
      <c r="O58" s="41"/>
      <c r="P58" s="41"/>
      <c r="Q58" s="41"/>
      <c r="R58" s="41"/>
      <c r="S58" s="41"/>
    </row>
    <row r="59" spans="1:19">
      <c r="A59" s="41"/>
      <c r="B59" s="41"/>
      <c r="C59" s="41"/>
      <c r="D59" s="41"/>
      <c r="E59" s="41"/>
      <c r="F59" s="41"/>
      <c r="G59" s="41"/>
      <c r="H59" s="41"/>
      <c r="I59" s="41"/>
      <c r="J59" s="41"/>
      <c r="K59" s="41"/>
      <c r="L59" s="41"/>
      <c r="M59" s="41"/>
      <c r="N59" s="41"/>
      <c r="O59" s="41"/>
      <c r="P59" s="41"/>
      <c r="Q59" s="41"/>
      <c r="R59" s="41"/>
      <c r="S59" s="41"/>
    </row>
    <row r="60" spans="1:19">
      <c r="A60" s="41"/>
      <c r="B60" s="41"/>
      <c r="C60" s="41"/>
      <c r="D60" s="41"/>
      <c r="E60" s="41"/>
      <c r="F60" s="41"/>
      <c r="G60" s="41"/>
      <c r="H60" s="41"/>
      <c r="I60" s="41"/>
      <c r="J60" s="41"/>
      <c r="K60" s="41"/>
      <c r="L60" s="41"/>
      <c r="M60" s="41"/>
      <c r="N60" s="41"/>
      <c r="O60" s="41"/>
      <c r="P60" s="41"/>
      <c r="Q60" s="41"/>
      <c r="R60" s="41"/>
      <c r="S60" s="41"/>
    </row>
    <row r="61" spans="1:19">
      <c r="A61" s="41"/>
      <c r="B61" s="41"/>
      <c r="C61" s="41"/>
      <c r="D61" s="41"/>
      <c r="E61" s="41"/>
      <c r="F61" s="41"/>
      <c r="G61" s="41"/>
      <c r="H61" s="41"/>
      <c r="I61" s="41"/>
      <c r="J61" s="41"/>
      <c r="K61" s="41"/>
      <c r="L61" s="41"/>
      <c r="M61" s="41"/>
      <c r="N61" s="41"/>
      <c r="O61" s="41"/>
      <c r="P61" s="41"/>
      <c r="Q61" s="41"/>
      <c r="R61" s="41"/>
      <c r="S61" s="41"/>
    </row>
    <row r="62" spans="1:19">
      <c r="A62" s="41"/>
      <c r="B62" s="41"/>
      <c r="C62" s="41"/>
      <c r="D62" s="41"/>
      <c r="E62" s="41"/>
      <c r="F62" s="41"/>
      <c r="G62" s="41"/>
      <c r="H62" s="41"/>
      <c r="I62" s="41"/>
      <c r="J62" s="41"/>
      <c r="K62" s="41"/>
      <c r="L62" s="41"/>
      <c r="M62" s="41"/>
      <c r="N62" s="41"/>
      <c r="O62" s="41"/>
      <c r="P62" s="41"/>
      <c r="Q62" s="41"/>
      <c r="R62" s="41"/>
      <c r="S62" s="41"/>
    </row>
    <row r="63" spans="1:19">
      <c r="A63" s="41"/>
      <c r="B63" s="41"/>
      <c r="C63" s="41"/>
      <c r="D63" s="41"/>
      <c r="E63" s="41"/>
      <c r="F63" s="41"/>
      <c r="G63" s="41"/>
      <c r="H63" s="41"/>
      <c r="I63" s="41"/>
      <c r="J63" s="41"/>
      <c r="K63" s="41"/>
      <c r="L63" s="41"/>
      <c r="M63" s="41"/>
      <c r="N63" s="41"/>
      <c r="O63" s="41"/>
      <c r="P63" s="41"/>
      <c r="Q63" s="41"/>
      <c r="R63" s="41"/>
      <c r="S63" s="41"/>
    </row>
    <row r="64" spans="1:19">
      <c r="A64" s="41"/>
      <c r="B64" s="41"/>
      <c r="C64" s="41"/>
      <c r="D64" s="41"/>
      <c r="E64" s="41"/>
      <c r="F64" s="41"/>
      <c r="G64" s="41"/>
      <c r="H64" s="41"/>
      <c r="I64" s="41"/>
      <c r="J64" s="41"/>
      <c r="K64" s="41"/>
      <c r="L64" s="41"/>
      <c r="M64" s="41"/>
      <c r="N64" s="41"/>
      <c r="O64" s="41"/>
      <c r="P64" s="41"/>
      <c r="Q64" s="41"/>
      <c r="R64" s="41"/>
      <c r="S64" s="41"/>
    </row>
    <row r="65" spans="1:19">
      <c r="A65" s="41"/>
      <c r="B65" s="41"/>
      <c r="C65" s="41"/>
      <c r="D65" s="41"/>
      <c r="E65" s="41"/>
      <c r="F65" s="41"/>
      <c r="G65" s="41"/>
      <c r="H65" s="41"/>
      <c r="I65" s="41"/>
      <c r="J65" s="41"/>
      <c r="K65" s="41"/>
      <c r="L65" s="41"/>
      <c r="M65" s="41"/>
      <c r="N65" s="41"/>
      <c r="O65" s="41"/>
      <c r="P65" s="41"/>
      <c r="Q65" s="41"/>
      <c r="R65" s="41"/>
      <c r="S65" s="41"/>
    </row>
    <row r="66" spans="1:19">
      <c r="A66" s="41"/>
      <c r="B66" s="41"/>
      <c r="C66" s="41"/>
      <c r="D66" s="41"/>
      <c r="E66" s="41"/>
      <c r="F66" s="41"/>
      <c r="G66" s="41"/>
      <c r="H66" s="41"/>
      <c r="I66" s="41"/>
      <c r="J66" s="41"/>
      <c r="K66" s="41"/>
      <c r="L66" s="41"/>
      <c r="M66" s="41"/>
      <c r="N66" s="41"/>
      <c r="O66" s="41"/>
      <c r="P66" s="41"/>
      <c r="Q66" s="41"/>
      <c r="R66" s="41"/>
      <c r="S66" s="41"/>
    </row>
    <row r="67" spans="1:19">
      <c r="A67" s="41"/>
      <c r="B67" s="41"/>
      <c r="C67" s="41"/>
      <c r="D67" s="41"/>
      <c r="E67" s="41"/>
      <c r="F67" s="41"/>
      <c r="G67" s="41"/>
      <c r="H67" s="41"/>
      <c r="I67" s="41"/>
      <c r="J67" s="41"/>
      <c r="K67" s="41"/>
      <c r="L67" s="41"/>
      <c r="M67" s="41"/>
      <c r="N67" s="41"/>
      <c r="O67" s="41"/>
      <c r="P67" s="41"/>
      <c r="Q67" s="41"/>
      <c r="R67" s="41"/>
      <c r="S67" s="41"/>
    </row>
    <row r="68" spans="1:19">
      <c r="A68" s="41"/>
      <c r="B68" s="41"/>
      <c r="C68" s="41"/>
      <c r="D68" s="41"/>
      <c r="E68" s="41"/>
      <c r="F68" s="41"/>
      <c r="G68" s="41"/>
      <c r="H68" s="41"/>
      <c r="I68" s="41"/>
      <c r="J68" s="41"/>
      <c r="K68" s="41"/>
      <c r="L68" s="41"/>
      <c r="M68" s="41"/>
      <c r="N68" s="41"/>
      <c r="O68" s="41"/>
      <c r="P68" s="41"/>
      <c r="Q68" s="41"/>
      <c r="R68" s="41"/>
      <c r="S68" s="41"/>
    </row>
    <row r="69" spans="1:19">
      <c r="A69" s="41"/>
      <c r="B69" s="41"/>
      <c r="C69" s="41"/>
      <c r="D69" s="41"/>
      <c r="E69" s="41"/>
      <c r="F69" s="41"/>
      <c r="G69" s="41"/>
      <c r="H69" s="41"/>
      <c r="I69" s="41"/>
      <c r="J69" s="41"/>
      <c r="K69" s="41"/>
      <c r="L69" s="41"/>
      <c r="M69" s="41"/>
      <c r="N69" s="41"/>
      <c r="O69" s="41"/>
      <c r="P69" s="41"/>
      <c r="Q69" s="41"/>
      <c r="R69" s="41"/>
      <c r="S69" s="41"/>
    </row>
    <row r="70" spans="1:19">
      <c r="A70" s="41"/>
      <c r="B70" s="41"/>
      <c r="C70" s="41"/>
      <c r="D70" s="41"/>
      <c r="E70" s="41"/>
      <c r="F70" s="41"/>
      <c r="G70" s="41"/>
      <c r="H70" s="41"/>
      <c r="I70" s="41"/>
      <c r="J70" s="41"/>
      <c r="K70" s="41"/>
      <c r="L70" s="41"/>
      <c r="M70" s="41"/>
      <c r="N70" s="41"/>
      <c r="O70" s="41"/>
      <c r="P70" s="41"/>
      <c r="Q70" s="41"/>
      <c r="R70" s="41"/>
      <c r="S70" s="41"/>
    </row>
    <row r="71" spans="1:19">
      <c r="A71" s="41"/>
      <c r="B71" s="41"/>
      <c r="C71" s="41"/>
      <c r="D71" s="41"/>
      <c r="E71" s="41"/>
      <c r="F71" s="41"/>
      <c r="G71" s="41"/>
      <c r="H71" s="41"/>
      <c r="I71" s="41"/>
      <c r="J71" s="41"/>
      <c r="K71" s="41"/>
      <c r="L71" s="41"/>
      <c r="M71" s="41"/>
      <c r="N71" s="41"/>
      <c r="O71" s="41"/>
      <c r="P71" s="41"/>
      <c r="Q71" s="41"/>
      <c r="R71" s="41"/>
      <c r="S71" s="41"/>
    </row>
    <row r="72" spans="1:19">
      <c r="A72" s="41"/>
      <c r="B72" s="41"/>
      <c r="C72" s="41"/>
      <c r="D72" s="41"/>
      <c r="E72" s="41"/>
      <c r="F72" s="41"/>
      <c r="G72" s="41"/>
      <c r="H72" s="41"/>
      <c r="I72" s="41"/>
      <c r="J72" s="41"/>
      <c r="K72" s="41"/>
      <c r="L72" s="41"/>
      <c r="M72" s="41"/>
      <c r="N72" s="41"/>
      <c r="O72" s="41"/>
      <c r="P72" s="41"/>
      <c r="Q72" s="41"/>
      <c r="R72" s="41"/>
      <c r="S72" s="41"/>
    </row>
    <row r="73" spans="1:19">
      <c r="A73" s="41"/>
      <c r="B73" s="41"/>
      <c r="C73" s="41"/>
      <c r="D73" s="41"/>
      <c r="E73" s="41"/>
      <c r="F73" s="41"/>
      <c r="G73" s="41"/>
      <c r="H73" s="41"/>
      <c r="I73" s="41"/>
      <c r="J73" s="41"/>
      <c r="K73" s="41"/>
      <c r="L73" s="41"/>
      <c r="M73" s="41"/>
      <c r="N73" s="41"/>
      <c r="O73" s="41"/>
      <c r="P73" s="41"/>
      <c r="Q73" s="41"/>
      <c r="R73" s="41"/>
      <c r="S73" s="41"/>
    </row>
    <row r="74" spans="1:19">
      <c r="A74" s="41"/>
      <c r="B74" s="41"/>
      <c r="C74" s="41"/>
      <c r="D74" s="41"/>
      <c r="E74" s="41"/>
      <c r="F74" s="41"/>
      <c r="G74" s="41"/>
      <c r="H74" s="41"/>
      <c r="I74" s="41"/>
      <c r="J74" s="41"/>
      <c r="K74" s="41"/>
      <c r="L74" s="41"/>
      <c r="M74" s="41"/>
      <c r="N74" s="41"/>
      <c r="O74" s="41"/>
      <c r="P74" s="41"/>
      <c r="Q74" s="41"/>
      <c r="R74" s="41"/>
      <c r="S74" s="41"/>
    </row>
    <row r="75" spans="1:19">
      <c r="A75" s="41"/>
      <c r="B75" s="41"/>
      <c r="C75" s="41"/>
      <c r="D75" s="41"/>
      <c r="E75" s="41"/>
      <c r="F75" s="41"/>
      <c r="G75" s="41"/>
      <c r="H75" s="41"/>
      <c r="I75" s="41"/>
      <c r="J75" s="41"/>
      <c r="K75" s="41"/>
      <c r="L75" s="41"/>
      <c r="M75" s="41"/>
      <c r="N75" s="41"/>
      <c r="O75" s="41"/>
      <c r="P75" s="41"/>
      <c r="Q75" s="41"/>
      <c r="R75" s="41"/>
      <c r="S75" s="41"/>
    </row>
    <row r="76" spans="1:19">
      <c r="A76" s="41"/>
      <c r="B76" s="41"/>
      <c r="C76" s="41"/>
      <c r="D76" s="41"/>
      <c r="E76" s="41"/>
      <c r="F76" s="41"/>
      <c r="G76" s="41"/>
      <c r="H76" s="41"/>
      <c r="I76" s="41"/>
      <c r="J76" s="41"/>
      <c r="K76" s="41"/>
      <c r="L76" s="41"/>
      <c r="M76" s="41"/>
      <c r="N76" s="41"/>
      <c r="O76" s="41"/>
      <c r="P76" s="41"/>
      <c r="Q76" s="41"/>
      <c r="R76" s="41"/>
      <c r="S76" s="41"/>
    </row>
    <row r="77" spans="1:19">
      <c r="A77" s="41"/>
      <c r="B77" s="41"/>
      <c r="C77" s="41"/>
      <c r="D77" s="41"/>
      <c r="E77" s="41"/>
      <c r="F77" s="41"/>
      <c r="G77" s="41"/>
      <c r="H77" s="41"/>
      <c r="I77" s="41"/>
      <c r="J77" s="41"/>
      <c r="K77" s="41"/>
      <c r="L77" s="41"/>
      <c r="M77" s="41"/>
      <c r="N77" s="41"/>
      <c r="O77" s="41"/>
      <c r="P77" s="41"/>
      <c r="Q77" s="41"/>
      <c r="R77" s="41"/>
      <c r="S77" s="41"/>
    </row>
    <row r="78" spans="1:19">
      <c r="A78" s="41"/>
      <c r="B78" s="41"/>
      <c r="C78" s="41"/>
      <c r="D78" s="41"/>
      <c r="E78" s="41"/>
      <c r="F78" s="41"/>
      <c r="G78" s="41"/>
      <c r="H78" s="41"/>
      <c r="I78" s="41"/>
      <c r="J78" s="41"/>
      <c r="K78" s="41"/>
      <c r="L78" s="41"/>
      <c r="M78" s="41"/>
      <c r="N78" s="41"/>
      <c r="O78" s="41"/>
      <c r="P78" s="41"/>
      <c r="Q78" s="41"/>
      <c r="R78" s="41"/>
      <c r="S78" s="41"/>
    </row>
    <row r="79" spans="1:19">
      <c r="A79" s="41"/>
      <c r="B79" s="41"/>
      <c r="C79" s="41"/>
      <c r="D79" s="41"/>
      <c r="E79" s="41"/>
      <c r="F79" s="41"/>
      <c r="G79" s="41"/>
      <c r="H79" s="41"/>
      <c r="I79" s="41"/>
      <c r="J79" s="41"/>
      <c r="K79" s="41"/>
      <c r="L79" s="41"/>
      <c r="M79" s="41"/>
      <c r="N79" s="41"/>
      <c r="O79" s="41"/>
      <c r="P79" s="41"/>
      <c r="Q79" s="41"/>
      <c r="R79" s="41"/>
      <c r="S79" s="41"/>
    </row>
    <row r="80" spans="1:19">
      <c r="A80" s="41"/>
      <c r="B80" s="41"/>
      <c r="C80" s="41"/>
      <c r="D80" s="41"/>
      <c r="E80" s="41"/>
      <c r="F80" s="41"/>
      <c r="G80" s="41"/>
      <c r="H80" s="41"/>
      <c r="I80" s="41"/>
      <c r="J80" s="41"/>
      <c r="K80" s="41"/>
      <c r="L80" s="41"/>
      <c r="M80" s="41"/>
      <c r="N80" s="41"/>
      <c r="O80" s="41"/>
      <c r="P80" s="41"/>
      <c r="Q80" s="41"/>
      <c r="R80" s="41"/>
      <c r="S80" s="41"/>
    </row>
    <row r="81" spans="1:19">
      <c r="A81" s="41"/>
      <c r="B81" s="41"/>
      <c r="C81" s="41"/>
      <c r="D81" s="41"/>
      <c r="E81" s="41"/>
      <c r="F81" s="41"/>
      <c r="G81" s="41"/>
      <c r="H81" s="41"/>
      <c r="I81" s="41"/>
      <c r="J81" s="41"/>
      <c r="K81" s="41"/>
      <c r="L81" s="41"/>
      <c r="M81" s="41"/>
      <c r="N81" s="41"/>
      <c r="O81" s="41"/>
      <c r="P81" s="41"/>
      <c r="Q81" s="41"/>
      <c r="R81" s="41"/>
      <c r="S81" s="41"/>
    </row>
    <row r="82" spans="1:19">
      <c r="A82" s="41"/>
      <c r="B82" s="41"/>
      <c r="C82" s="41"/>
      <c r="D82" s="41"/>
      <c r="E82" s="41"/>
      <c r="F82" s="41"/>
      <c r="G82" s="41"/>
      <c r="H82" s="41"/>
      <c r="I82" s="41"/>
      <c r="J82" s="41"/>
      <c r="K82" s="41"/>
      <c r="L82" s="41"/>
      <c r="M82" s="41"/>
      <c r="N82" s="41"/>
      <c r="O82" s="41"/>
      <c r="P82" s="41"/>
      <c r="Q82" s="41"/>
      <c r="R82" s="41"/>
      <c r="S82" s="41"/>
    </row>
    <row r="83" spans="1:19">
      <c r="A83" s="41"/>
      <c r="B83" s="41"/>
      <c r="C83" s="41"/>
      <c r="D83" s="41"/>
      <c r="E83" s="41"/>
      <c r="F83" s="41"/>
      <c r="G83" s="41"/>
      <c r="H83" s="41"/>
      <c r="I83" s="41"/>
      <c r="J83" s="41"/>
      <c r="K83" s="41"/>
      <c r="L83" s="41"/>
      <c r="M83" s="41"/>
      <c r="N83" s="41"/>
      <c r="O83" s="41"/>
      <c r="P83" s="41"/>
      <c r="Q83" s="41"/>
      <c r="R83" s="41"/>
      <c r="S83" s="41"/>
    </row>
    <row r="84" spans="1:19">
      <c r="A84" s="41"/>
      <c r="B84" s="41"/>
      <c r="C84" s="41"/>
      <c r="D84" s="41"/>
      <c r="E84" s="41"/>
      <c r="F84" s="41"/>
      <c r="G84" s="41"/>
      <c r="H84" s="41"/>
      <c r="I84" s="41"/>
      <c r="J84" s="41"/>
      <c r="K84" s="41"/>
      <c r="L84" s="41"/>
      <c r="M84" s="41"/>
      <c r="N84" s="41"/>
      <c r="O84" s="41"/>
      <c r="P84" s="41"/>
      <c r="Q84" s="41"/>
      <c r="R84" s="41"/>
      <c r="S84" s="41"/>
    </row>
    <row r="85" spans="1:19">
      <c r="A85" s="41"/>
      <c r="B85" s="41"/>
      <c r="C85" s="41"/>
      <c r="D85" s="41"/>
      <c r="E85" s="41"/>
      <c r="F85" s="41"/>
      <c r="G85" s="41"/>
      <c r="H85" s="41"/>
      <c r="I85" s="41"/>
      <c r="J85" s="41"/>
      <c r="K85" s="41"/>
      <c r="L85" s="41"/>
      <c r="M85" s="41"/>
      <c r="N85" s="41"/>
      <c r="O85" s="41"/>
      <c r="P85" s="41"/>
      <c r="Q85" s="41"/>
      <c r="R85" s="41"/>
      <c r="S85" s="41"/>
    </row>
    <row r="86" spans="1:19">
      <c r="A86" s="41"/>
      <c r="B86" s="41"/>
      <c r="C86" s="41"/>
      <c r="D86" s="41"/>
      <c r="E86" s="41"/>
      <c r="F86" s="41"/>
      <c r="G86" s="41"/>
      <c r="H86" s="41"/>
      <c r="I86" s="41"/>
      <c r="J86" s="41"/>
      <c r="K86" s="41"/>
      <c r="L86" s="41"/>
      <c r="M86" s="41"/>
      <c r="N86" s="41"/>
      <c r="O86" s="41"/>
      <c r="P86" s="41"/>
      <c r="Q86" s="41"/>
      <c r="R86" s="41"/>
      <c r="S86" s="41"/>
    </row>
    <row r="87" spans="1:19">
      <c r="A87" s="41"/>
      <c r="B87" s="41"/>
      <c r="C87" s="41"/>
      <c r="D87" s="41"/>
      <c r="E87" s="41"/>
      <c r="F87" s="41"/>
      <c r="G87" s="41"/>
      <c r="H87" s="41"/>
      <c r="I87" s="41"/>
      <c r="J87" s="41"/>
      <c r="K87" s="41"/>
      <c r="L87" s="41"/>
      <c r="M87" s="41"/>
      <c r="N87" s="41"/>
      <c r="O87" s="41"/>
      <c r="P87" s="41"/>
      <c r="Q87" s="41"/>
      <c r="R87" s="41"/>
      <c r="S87" s="41"/>
    </row>
    <row r="88" spans="1:19">
      <c r="A88" s="41"/>
      <c r="B88" s="41"/>
      <c r="C88" s="41"/>
      <c r="D88" s="41"/>
      <c r="E88" s="41"/>
      <c r="F88" s="41"/>
      <c r="G88" s="41"/>
      <c r="H88" s="41"/>
      <c r="I88" s="41"/>
      <c r="J88" s="41"/>
      <c r="K88" s="41"/>
      <c r="L88" s="41"/>
      <c r="M88" s="41"/>
      <c r="N88" s="41"/>
      <c r="O88" s="41"/>
      <c r="P88" s="41"/>
      <c r="Q88" s="41"/>
      <c r="R88" s="41"/>
      <c r="S88" s="41"/>
    </row>
    <row r="89" spans="1:19">
      <c r="A89" s="41"/>
      <c r="B89" s="41"/>
      <c r="C89" s="41"/>
      <c r="D89" s="41"/>
      <c r="E89" s="41"/>
      <c r="F89" s="41"/>
      <c r="G89" s="41"/>
      <c r="H89" s="41"/>
      <c r="I89" s="41"/>
      <c r="J89" s="41"/>
      <c r="K89" s="41"/>
      <c r="L89" s="41"/>
      <c r="M89" s="41"/>
      <c r="N89" s="41"/>
      <c r="O89" s="41"/>
      <c r="P89" s="41"/>
      <c r="Q89" s="41"/>
      <c r="R89" s="41"/>
      <c r="S89" s="41"/>
    </row>
    <row r="90" spans="1:19">
      <c r="A90" s="41"/>
      <c r="B90" s="41"/>
      <c r="C90" s="41"/>
      <c r="D90" s="41"/>
      <c r="E90" s="41"/>
      <c r="F90" s="41"/>
      <c r="G90" s="41"/>
      <c r="H90" s="41"/>
      <c r="I90" s="41"/>
      <c r="J90" s="41"/>
      <c r="K90" s="41"/>
      <c r="L90" s="41"/>
      <c r="M90" s="41"/>
      <c r="N90" s="41"/>
      <c r="O90" s="41"/>
      <c r="P90" s="41"/>
      <c r="Q90" s="41"/>
      <c r="R90" s="41"/>
      <c r="S90" s="41"/>
    </row>
    <row r="91" spans="1:19">
      <c r="A91" s="41"/>
      <c r="B91" s="41"/>
      <c r="C91" s="41"/>
      <c r="D91" s="41"/>
      <c r="E91" s="41"/>
      <c r="F91" s="41"/>
      <c r="G91" s="41"/>
      <c r="H91" s="41"/>
      <c r="I91" s="41"/>
      <c r="J91" s="41"/>
      <c r="K91" s="41"/>
      <c r="L91" s="41"/>
      <c r="M91" s="41"/>
      <c r="N91" s="41"/>
      <c r="O91" s="41"/>
      <c r="P91" s="41"/>
      <c r="Q91" s="41"/>
      <c r="R91" s="41"/>
      <c r="S91" s="41"/>
    </row>
    <row r="92" spans="1:19">
      <c r="A92" s="41"/>
      <c r="B92" s="41"/>
      <c r="C92" s="41"/>
      <c r="D92" s="41"/>
      <c r="E92" s="41"/>
      <c r="F92" s="41"/>
      <c r="G92" s="41"/>
      <c r="H92" s="41"/>
      <c r="I92" s="41"/>
      <c r="J92" s="41"/>
      <c r="K92" s="41"/>
      <c r="L92" s="41"/>
      <c r="M92" s="41"/>
      <c r="N92" s="41"/>
      <c r="O92" s="41"/>
      <c r="P92" s="41"/>
      <c r="Q92" s="41"/>
      <c r="R92" s="41"/>
      <c r="S92" s="41"/>
    </row>
    <row r="93" spans="1:19">
      <c r="A93" s="41"/>
      <c r="B93" s="41"/>
      <c r="C93" s="41"/>
      <c r="D93" s="41"/>
      <c r="E93" s="41"/>
      <c r="F93" s="41"/>
      <c r="G93" s="41"/>
      <c r="H93" s="41"/>
      <c r="I93" s="41"/>
      <c r="J93" s="41"/>
      <c r="K93" s="41"/>
      <c r="L93" s="41"/>
      <c r="M93" s="41"/>
      <c r="N93" s="41"/>
      <c r="O93" s="41"/>
      <c r="P93" s="41"/>
      <c r="Q93" s="41"/>
      <c r="R93" s="41"/>
      <c r="S93" s="41"/>
    </row>
    <row r="94" spans="1:19">
      <c r="A94" s="41"/>
      <c r="B94" s="41"/>
      <c r="C94" s="41"/>
      <c r="D94" s="41"/>
      <c r="E94" s="41"/>
      <c r="F94" s="41"/>
      <c r="G94" s="41"/>
      <c r="H94" s="41"/>
      <c r="I94" s="41"/>
      <c r="J94" s="41"/>
      <c r="K94" s="41"/>
      <c r="L94" s="41"/>
      <c r="M94" s="41"/>
      <c r="N94" s="41"/>
      <c r="O94" s="41"/>
      <c r="P94" s="41"/>
      <c r="Q94" s="41"/>
      <c r="R94" s="41"/>
      <c r="S94" s="41"/>
    </row>
    <row r="95" spans="1:19">
      <c r="A95" s="41"/>
      <c r="B95" s="41"/>
      <c r="C95" s="41"/>
      <c r="D95" s="41"/>
      <c r="E95" s="41"/>
      <c r="F95" s="41"/>
      <c r="G95" s="41"/>
      <c r="H95" s="41"/>
      <c r="I95" s="41"/>
      <c r="J95" s="41"/>
      <c r="K95" s="41"/>
      <c r="L95" s="41"/>
      <c r="M95" s="41"/>
      <c r="N95" s="41"/>
      <c r="O95" s="41"/>
      <c r="P95" s="41"/>
      <c r="Q95" s="41"/>
      <c r="R95" s="41"/>
      <c r="S95" s="41"/>
    </row>
    <row r="96" spans="1:19">
      <c r="A96" s="41"/>
      <c r="B96" s="41"/>
      <c r="C96" s="41"/>
      <c r="D96" s="41"/>
      <c r="E96" s="41"/>
      <c r="F96" s="41"/>
      <c r="G96" s="41"/>
      <c r="H96" s="41"/>
      <c r="I96" s="41"/>
      <c r="J96" s="41"/>
      <c r="K96" s="41"/>
      <c r="L96" s="41"/>
      <c r="M96" s="41"/>
      <c r="N96" s="41"/>
      <c r="O96" s="41"/>
      <c r="P96" s="41"/>
      <c r="Q96" s="41"/>
      <c r="R96" s="41"/>
      <c r="S96" s="41"/>
    </row>
    <row r="97" spans="1:19">
      <c r="A97" s="41"/>
      <c r="B97" s="41"/>
      <c r="C97" s="41"/>
      <c r="D97" s="41"/>
      <c r="E97" s="41"/>
      <c r="F97" s="41"/>
      <c r="G97" s="41"/>
      <c r="H97" s="41"/>
      <c r="I97" s="41"/>
      <c r="J97" s="41"/>
      <c r="K97" s="41"/>
      <c r="L97" s="41"/>
      <c r="M97" s="41"/>
      <c r="N97" s="41"/>
      <c r="O97" s="41"/>
      <c r="P97" s="41"/>
      <c r="Q97" s="41"/>
      <c r="R97" s="41"/>
      <c r="S97" s="41"/>
    </row>
    <row r="98" spans="1:19">
      <c r="A98" s="41"/>
      <c r="B98" s="41"/>
      <c r="C98" s="41"/>
      <c r="D98" s="41"/>
      <c r="E98" s="41"/>
      <c r="F98" s="41"/>
      <c r="G98" s="41"/>
      <c r="H98" s="41"/>
      <c r="I98" s="41"/>
      <c r="J98" s="41"/>
      <c r="K98" s="41"/>
      <c r="L98" s="41"/>
      <c r="M98" s="41"/>
      <c r="N98" s="41"/>
      <c r="O98" s="41"/>
      <c r="P98" s="41"/>
      <c r="Q98" s="41"/>
      <c r="R98" s="41"/>
      <c r="S98" s="41"/>
    </row>
    <row r="99" spans="1:19">
      <c r="A99" s="41"/>
      <c r="B99" s="41"/>
      <c r="C99" s="41"/>
      <c r="D99" s="41"/>
      <c r="E99" s="41"/>
      <c r="F99" s="41"/>
      <c r="G99" s="41"/>
      <c r="H99" s="41"/>
      <c r="I99" s="41"/>
      <c r="J99" s="41"/>
      <c r="K99" s="41"/>
      <c r="L99" s="41"/>
      <c r="M99" s="41"/>
      <c r="N99" s="41"/>
      <c r="O99" s="41"/>
      <c r="P99" s="41"/>
      <c r="Q99" s="41"/>
      <c r="R99" s="41"/>
      <c r="S99" s="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41AAD-380B-426D-AF6E-4C54D1AF58E4}">
  <dimension ref="A1:A18"/>
  <sheetViews>
    <sheetView workbookViewId="0">
      <selection activeCell="H22" sqref="H22"/>
    </sheetView>
  </sheetViews>
  <sheetFormatPr defaultRowHeight="14.4"/>
  <sheetData>
    <row r="1" spans="1:1" ht="23.4">
      <c r="A1" s="42" t="s">
        <v>124</v>
      </c>
    </row>
    <row r="3" spans="1:1">
      <c r="A3" t="s">
        <v>139</v>
      </c>
    </row>
    <row r="4" spans="1:1">
      <c r="A4" s="5" t="s">
        <v>126</v>
      </c>
    </row>
    <row r="5" spans="1:1">
      <c r="A5" s="21" t="s">
        <v>127</v>
      </c>
    </row>
    <row r="6" spans="1:1">
      <c r="A6" s="5" t="s">
        <v>128</v>
      </c>
    </row>
    <row r="7" spans="1:1">
      <c r="A7" s="21" t="s">
        <v>129</v>
      </c>
    </row>
    <row r="8" spans="1:1">
      <c r="A8" s="5" t="s">
        <v>130</v>
      </c>
    </row>
    <row r="9" spans="1:1">
      <c r="A9" s="21" t="s">
        <v>131</v>
      </c>
    </row>
    <row r="10" spans="1:1">
      <c r="A10" s="5" t="s">
        <v>132</v>
      </c>
    </row>
    <row r="11" spans="1:1">
      <c r="A11" s="21" t="s">
        <v>133</v>
      </c>
    </row>
    <row r="12" spans="1:1">
      <c r="A12" s="5" t="s">
        <v>134</v>
      </c>
    </row>
    <row r="13" spans="1:1">
      <c r="A13" s="21" t="s">
        <v>135</v>
      </c>
    </row>
    <row r="14" spans="1:1">
      <c r="A14" s="5" t="s">
        <v>136</v>
      </c>
    </row>
    <row r="15" spans="1:1">
      <c r="A15" s="21" t="s">
        <v>137</v>
      </c>
    </row>
    <row r="17" spans="1:1">
      <c r="A17" s="3" t="s">
        <v>31</v>
      </c>
    </row>
    <row r="18" spans="1:1">
      <c r="A18" t="s">
        <v>138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E9998-B929-4B3D-A437-1E5C342806D2}">
  <dimension ref="A1:U43"/>
  <sheetViews>
    <sheetView workbookViewId="0">
      <selection activeCell="F1" sqref="F1"/>
    </sheetView>
  </sheetViews>
  <sheetFormatPr defaultRowHeight="14.4"/>
  <cols>
    <col min="4" max="4" width="27.21875" customWidth="1"/>
    <col min="5" max="5" width="13.88671875" customWidth="1"/>
    <col min="6" max="6" width="12.33203125" bestFit="1" customWidth="1"/>
    <col min="8" max="8" width="12.5546875" bestFit="1" customWidth="1"/>
    <col min="11" max="11" width="16.6640625" bestFit="1" customWidth="1"/>
    <col min="12" max="12" width="14.44140625" bestFit="1" customWidth="1"/>
    <col min="13" max="13" width="12.33203125" bestFit="1" customWidth="1"/>
    <col min="14" max="14" width="9.21875" bestFit="1" customWidth="1"/>
    <col min="15" max="15" width="12.5546875" bestFit="1" customWidth="1"/>
  </cols>
  <sheetData>
    <row r="1" spans="1:21" ht="21">
      <c r="A1" s="44" t="s">
        <v>140</v>
      </c>
      <c r="B1" s="44" t="s">
        <v>141</v>
      </c>
      <c r="C1" s="44"/>
      <c r="D1" s="44"/>
      <c r="E1" s="44"/>
      <c r="F1" s="44"/>
      <c r="G1" s="44"/>
      <c r="H1" s="44"/>
      <c r="I1" s="44"/>
      <c r="J1" s="44"/>
      <c r="K1" s="44"/>
      <c r="L1" s="44"/>
      <c r="M1" s="44"/>
      <c r="N1" s="44"/>
      <c r="O1" s="43"/>
      <c r="P1" s="43"/>
      <c r="Q1" s="43"/>
      <c r="R1" s="43"/>
      <c r="S1" s="43"/>
      <c r="T1" s="43"/>
      <c r="U1" s="43"/>
    </row>
    <row r="2" spans="1:21" ht="21">
      <c r="A2" s="44"/>
      <c r="B2" s="44" t="s">
        <v>142</v>
      </c>
      <c r="C2" s="44"/>
      <c r="D2" s="44"/>
      <c r="E2" s="44"/>
      <c r="F2" s="44"/>
      <c r="G2" s="44"/>
      <c r="H2" s="44"/>
      <c r="I2" s="44"/>
      <c r="J2" s="44"/>
      <c r="K2" s="44"/>
      <c r="L2" s="44"/>
      <c r="M2" s="44"/>
      <c r="N2" s="44"/>
      <c r="O2" s="43"/>
      <c r="P2" s="43"/>
      <c r="Q2" s="43"/>
      <c r="R2" s="43"/>
      <c r="S2" s="43"/>
      <c r="T2" s="43"/>
      <c r="U2" s="43"/>
    </row>
    <row r="3" spans="1:21" ht="21">
      <c r="A3" s="44"/>
      <c r="B3" s="44" t="s">
        <v>143</v>
      </c>
      <c r="C3" s="44"/>
      <c r="D3" s="44"/>
      <c r="E3" s="44"/>
      <c r="F3" s="44"/>
      <c r="G3" s="44"/>
      <c r="H3" s="44"/>
      <c r="I3" s="44"/>
      <c r="J3" s="44"/>
      <c r="K3" s="44"/>
      <c r="L3" s="44"/>
      <c r="M3" s="44"/>
      <c r="N3" s="44"/>
      <c r="O3" s="43"/>
      <c r="P3" s="43"/>
      <c r="Q3" s="43"/>
      <c r="R3" s="43"/>
      <c r="S3" s="43"/>
      <c r="T3" s="43"/>
      <c r="U3" s="43"/>
    </row>
    <row r="4" spans="1:21" ht="21">
      <c r="A4" s="44"/>
      <c r="B4" s="44"/>
      <c r="C4" s="44" t="s">
        <v>144</v>
      </c>
      <c r="D4" s="44"/>
      <c r="E4" s="44"/>
      <c r="F4" s="44"/>
      <c r="G4" s="44"/>
      <c r="H4" s="44"/>
      <c r="I4" s="44"/>
      <c r="J4" s="44"/>
      <c r="K4" s="44"/>
      <c r="L4" s="44"/>
      <c r="M4" s="44"/>
      <c r="N4" s="44"/>
      <c r="O4" s="43"/>
      <c r="P4" s="43"/>
      <c r="Q4" s="43"/>
      <c r="R4" s="43"/>
      <c r="S4" s="43"/>
      <c r="T4" s="43"/>
      <c r="U4" s="43"/>
    </row>
    <row r="6" spans="1:21" ht="18">
      <c r="C6" s="25" t="s">
        <v>145</v>
      </c>
      <c r="D6" s="25"/>
      <c r="E6" s="25"/>
    </row>
    <row r="8" spans="1:21" ht="15.6">
      <c r="D8" s="52" t="s">
        <v>146</v>
      </c>
      <c r="E8" s="52" t="s">
        <v>147</v>
      </c>
      <c r="F8" s="52" t="s">
        <v>148</v>
      </c>
      <c r="G8" s="52" t="s">
        <v>149</v>
      </c>
      <c r="H8" s="52" t="s">
        <v>150</v>
      </c>
    </row>
    <row r="9" spans="1:21" ht="15.6">
      <c r="D9" s="53" t="s">
        <v>151</v>
      </c>
      <c r="E9" s="53" t="s">
        <v>152</v>
      </c>
      <c r="F9" s="53" t="s">
        <v>153</v>
      </c>
      <c r="G9" s="53"/>
      <c r="H9" s="53">
        <v>81</v>
      </c>
    </row>
    <row r="10" spans="1:21" ht="15.6">
      <c r="D10" s="53" t="s">
        <v>154</v>
      </c>
      <c r="E10" s="53" t="s">
        <v>155</v>
      </c>
      <c r="F10" s="53" t="s">
        <v>153</v>
      </c>
      <c r="G10" s="53"/>
      <c r="H10" s="53">
        <v>121</v>
      </c>
    </row>
    <row r="11" spans="1:21" ht="15.6">
      <c r="D11" s="53" t="s">
        <v>156</v>
      </c>
      <c r="E11" s="53" t="s">
        <v>157</v>
      </c>
      <c r="F11" s="53" t="s">
        <v>158</v>
      </c>
      <c r="G11" s="53"/>
      <c r="H11" s="53">
        <v>239</v>
      </c>
    </row>
    <row r="12" spans="1:21" ht="15.6">
      <c r="D12" s="53" t="s">
        <v>159</v>
      </c>
      <c r="E12" s="53" t="s">
        <v>152</v>
      </c>
      <c r="F12" s="53" t="s">
        <v>153</v>
      </c>
      <c r="G12" s="53"/>
      <c r="H12" s="53">
        <v>500</v>
      </c>
    </row>
    <row r="13" spans="1:21" ht="15.6">
      <c r="D13" s="53" t="s">
        <v>160</v>
      </c>
      <c r="E13" s="53" t="s">
        <v>161</v>
      </c>
      <c r="F13" s="53" t="s">
        <v>162</v>
      </c>
      <c r="G13" s="53"/>
      <c r="H13" s="53">
        <v>423</v>
      </c>
    </row>
    <row r="14" spans="1:21" ht="15.6">
      <c r="D14" s="53" t="s">
        <v>163</v>
      </c>
      <c r="E14" s="53" t="s">
        <v>164</v>
      </c>
      <c r="F14" s="53" t="s">
        <v>153</v>
      </c>
      <c r="G14" s="53"/>
      <c r="H14" s="53">
        <v>160</v>
      </c>
    </row>
    <row r="15" spans="1:21" ht="15.6">
      <c r="D15" s="53" t="s">
        <v>165</v>
      </c>
      <c r="E15" s="53" t="s">
        <v>166</v>
      </c>
      <c r="F15" s="53" t="s">
        <v>153</v>
      </c>
      <c r="G15" s="53"/>
      <c r="H15" s="53">
        <v>348</v>
      </c>
    </row>
    <row r="16" spans="1:21" ht="15.6">
      <c r="D16" s="53" t="s">
        <v>167</v>
      </c>
      <c r="E16" s="53" t="s">
        <v>166</v>
      </c>
      <c r="F16" s="53" t="s">
        <v>153</v>
      </c>
      <c r="G16" s="53"/>
      <c r="H16" s="53">
        <v>152</v>
      </c>
    </row>
    <row r="17" spans="2:15" ht="15.6">
      <c r="D17" s="53" t="s">
        <v>168</v>
      </c>
      <c r="E17" s="53" t="s">
        <v>169</v>
      </c>
      <c r="F17" s="53" t="s">
        <v>162</v>
      </c>
      <c r="G17" s="53"/>
      <c r="H17" s="53">
        <v>369</v>
      </c>
    </row>
    <row r="18" spans="2:15" ht="15.6">
      <c r="D18" s="22"/>
      <c r="E18" s="22"/>
      <c r="F18" s="22"/>
      <c r="G18" s="22"/>
      <c r="H18" s="22"/>
    </row>
    <row r="19" spans="2:15" ht="23.4">
      <c r="B19" s="54" t="s">
        <v>170</v>
      </c>
      <c r="D19" s="25"/>
      <c r="E19" s="25"/>
      <c r="F19" s="25"/>
      <c r="G19" s="25"/>
      <c r="H19" s="25"/>
    </row>
    <row r="20" spans="2:15" ht="18">
      <c r="C20" s="25" t="s">
        <v>171</v>
      </c>
      <c r="D20" s="25"/>
      <c r="E20" s="25"/>
      <c r="F20" s="25"/>
      <c r="G20" s="25"/>
      <c r="H20" s="25"/>
    </row>
    <row r="21" spans="2:15" ht="18">
      <c r="C21" s="55" t="s">
        <v>172</v>
      </c>
      <c r="D21" s="55"/>
      <c r="E21" s="55"/>
      <c r="F21" s="55"/>
      <c r="G21" s="55"/>
      <c r="H21" s="55"/>
      <c r="I21" s="56"/>
      <c r="K21" s="52" t="s">
        <v>146</v>
      </c>
      <c r="L21" s="52" t="s">
        <v>147</v>
      </c>
      <c r="M21" s="52" t="s">
        <v>148</v>
      </c>
      <c r="N21" s="52" t="s">
        <v>149</v>
      </c>
      <c r="O21" s="52" t="s">
        <v>150</v>
      </c>
    </row>
    <row r="22" spans="2:15" ht="18">
      <c r="C22" s="57"/>
      <c r="D22" s="57"/>
      <c r="E22" s="57"/>
      <c r="F22" s="57"/>
      <c r="G22" s="57"/>
      <c r="H22" s="57"/>
      <c r="I22" s="57"/>
      <c r="K22" s="53" t="s">
        <v>151</v>
      </c>
      <c r="L22" s="53" t="s">
        <v>152</v>
      </c>
      <c r="M22" s="53" t="s">
        <v>153</v>
      </c>
      <c r="N22" s="53"/>
      <c r="O22" s="53">
        <v>81</v>
      </c>
    </row>
    <row r="23" spans="2:15" ht="18">
      <c r="C23" s="55" t="s">
        <v>173</v>
      </c>
      <c r="D23" s="55"/>
      <c r="E23" s="55"/>
      <c r="F23" s="25"/>
      <c r="G23" s="25"/>
      <c r="H23" s="25"/>
      <c r="K23" s="53" t="s">
        <v>154</v>
      </c>
      <c r="L23" s="53" t="s">
        <v>155</v>
      </c>
      <c r="M23" s="53" t="s">
        <v>153</v>
      </c>
      <c r="N23" s="53"/>
      <c r="O23" s="53">
        <v>121</v>
      </c>
    </row>
    <row r="24" spans="2:15" ht="18">
      <c r="C24" s="57"/>
      <c r="D24" s="57"/>
      <c r="E24" s="57"/>
      <c r="F24" s="25"/>
      <c r="G24" s="25"/>
      <c r="H24" s="25"/>
      <c r="K24" s="53" t="s">
        <v>156</v>
      </c>
      <c r="L24" s="53" t="s">
        <v>157</v>
      </c>
      <c r="M24" s="53" t="s">
        <v>158</v>
      </c>
      <c r="N24" s="53">
        <v>5</v>
      </c>
      <c r="O24" s="53">
        <v>239</v>
      </c>
    </row>
    <row r="25" spans="2:15" ht="18">
      <c r="C25" s="55" t="s">
        <v>174</v>
      </c>
      <c r="D25" s="55"/>
      <c r="E25" s="55"/>
      <c r="F25" s="25"/>
      <c r="G25" s="25"/>
      <c r="H25" s="25"/>
      <c r="K25" s="53" t="s">
        <v>159</v>
      </c>
      <c r="L25" s="53" t="s">
        <v>152</v>
      </c>
      <c r="M25" s="53" t="s">
        <v>153</v>
      </c>
      <c r="N25" s="53">
        <v>3</v>
      </c>
      <c r="O25" s="53">
        <v>500</v>
      </c>
    </row>
    <row r="26" spans="2:15" ht="18">
      <c r="C26" s="57"/>
      <c r="D26" s="57"/>
      <c r="E26" s="57"/>
      <c r="F26" s="25"/>
      <c r="G26" s="25"/>
      <c r="H26" s="25"/>
      <c r="K26" s="53" t="s">
        <v>160</v>
      </c>
      <c r="L26" s="53" t="s">
        <v>161</v>
      </c>
      <c r="M26" s="53" t="s">
        <v>162</v>
      </c>
      <c r="N26" s="53">
        <v>1</v>
      </c>
      <c r="O26" s="53">
        <v>423</v>
      </c>
    </row>
    <row r="27" spans="2:15" ht="18">
      <c r="C27" s="55" t="s">
        <v>175</v>
      </c>
      <c r="D27" s="55"/>
      <c r="E27" s="25"/>
      <c r="F27" s="25"/>
      <c r="G27" s="25"/>
      <c r="H27" s="25"/>
      <c r="K27" s="53" t="s">
        <v>163</v>
      </c>
      <c r="L27" s="53" t="s">
        <v>164</v>
      </c>
      <c r="M27" s="53" t="s">
        <v>153</v>
      </c>
      <c r="N27" s="53">
        <v>5</v>
      </c>
      <c r="O27" s="53">
        <v>160</v>
      </c>
    </row>
    <row r="28" spans="2:15" ht="18">
      <c r="C28" s="25" t="s">
        <v>125</v>
      </c>
      <c r="D28" s="38" t="s">
        <v>176</v>
      </c>
      <c r="E28" s="38"/>
      <c r="F28" s="38"/>
      <c r="G28" s="25"/>
      <c r="H28" s="25"/>
      <c r="K28" s="53" t="s">
        <v>165</v>
      </c>
      <c r="L28" s="53" t="s">
        <v>166</v>
      </c>
      <c r="M28" s="53" t="s">
        <v>153</v>
      </c>
      <c r="N28" s="53"/>
      <c r="O28" s="53">
        <v>348</v>
      </c>
    </row>
    <row r="29" spans="2:15" ht="18">
      <c r="C29" s="25" t="s">
        <v>125</v>
      </c>
      <c r="D29" s="38" t="s">
        <v>177</v>
      </c>
      <c r="E29" s="38"/>
      <c r="F29" s="38"/>
      <c r="G29" s="25"/>
      <c r="H29" s="25"/>
      <c r="K29" s="53" t="s">
        <v>167</v>
      </c>
      <c r="L29" s="53" t="s">
        <v>166</v>
      </c>
      <c r="M29" s="53" t="s">
        <v>153</v>
      </c>
      <c r="N29" s="53"/>
      <c r="O29" s="53">
        <v>152</v>
      </c>
    </row>
    <row r="30" spans="2:15" ht="18">
      <c r="C30" s="25" t="s">
        <v>125</v>
      </c>
      <c r="D30" s="38" t="s">
        <v>178</v>
      </c>
      <c r="E30" s="38"/>
      <c r="F30" s="38"/>
      <c r="G30" s="25"/>
      <c r="H30" s="25"/>
      <c r="K30" s="53" t="s">
        <v>168</v>
      </c>
      <c r="L30" s="53" t="s">
        <v>169</v>
      </c>
      <c r="M30" s="53" t="s">
        <v>162</v>
      </c>
      <c r="N30" s="53"/>
      <c r="O30" s="53">
        <v>369</v>
      </c>
    </row>
    <row r="31" spans="2:15" ht="18">
      <c r="C31" s="25"/>
      <c r="D31" s="25"/>
      <c r="E31" s="25"/>
      <c r="F31" s="25"/>
      <c r="G31" s="25"/>
      <c r="H31" s="25"/>
    </row>
    <row r="32" spans="2:15" ht="18">
      <c r="C32" s="55" t="s">
        <v>179</v>
      </c>
      <c r="D32" s="55"/>
      <c r="E32" s="25"/>
      <c r="F32" s="25"/>
      <c r="G32" s="25"/>
      <c r="H32" s="25"/>
    </row>
    <row r="33" spans="3:10" ht="18">
      <c r="C33" s="25" t="s">
        <v>125</v>
      </c>
      <c r="D33" s="38" t="s">
        <v>180</v>
      </c>
      <c r="E33" s="38"/>
      <c r="F33" s="38"/>
      <c r="G33" s="38"/>
      <c r="H33" s="38"/>
      <c r="I33" s="38"/>
    </row>
    <row r="34" spans="3:10" ht="18">
      <c r="C34" s="25" t="s">
        <v>125</v>
      </c>
      <c r="D34" s="38" t="s">
        <v>181</v>
      </c>
      <c r="E34" s="38"/>
      <c r="F34" s="38"/>
      <c r="G34" s="38"/>
      <c r="H34" s="38"/>
      <c r="I34" s="38"/>
    </row>
    <row r="35" spans="3:10" ht="18">
      <c r="C35" s="25"/>
      <c r="D35" s="25"/>
      <c r="E35" s="25"/>
      <c r="F35" s="25"/>
      <c r="G35" s="25"/>
      <c r="H35" s="25"/>
    </row>
    <row r="36" spans="3:10" ht="18">
      <c r="C36" s="55" t="s">
        <v>182</v>
      </c>
      <c r="D36" s="55"/>
      <c r="E36" s="25"/>
      <c r="F36" s="25"/>
      <c r="G36" s="25"/>
      <c r="H36" s="25"/>
    </row>
    <row r="37" spans="3:10" ht="18">
      <c r="C37" s="25" t="s">
        <v>125</v>
      </c>
      <c r="D37" s="38" t="s">
        <v>183</v>
      </c>
      <c r="E37" s="38"/>
      <c r="F37" s="38"/>
      <c r="G37" s="38"/>
      <c r="H37" s="38"/>
      <c r="I37" s="38"/>
      <c r="J37" s="38"/>
    </row>
    <row r="38" spans="3:10" ht="18">
      <c r="C38" s="25" t="s">
        <v>125</v>
      </c>
      <c r="D38" s="38" t="s">
        <v>184</v>
      </c>
      <c r="E38" s="38"/>
      <c r="F38" s="38"/>
      <c r="G38" s="38"/>
      <c r="H38" s="38"/>
      <c r="I38" s="38"/>
      <c r="J38" s="38"/>
    </row>
    <row r="39" spans="3:10" ht="18">
      <c r="C39" s="25" t="s">
        <v>125</v>
      </c>
      <c r="D39" s="38" t="s">
        <v>185</v>
      </c>
      <c r="E39" s="38"/>
      <c r="F39" s="38"/>
      <c r="G39" s="38"/>
      <c r="H39" s="38"/>
      <c r="I39" s="38"/>
      <c r="J39" s="38"/>
    </row>
    <row r="40" spans="3:10" ht="18">
      <c r="C40" s="25"/>
      <c r="D40" s="25"/>
      <c r="E40" s="25"/>
      <c r="F40" s="25"/>
      <c r="G40" s="25"/>
      <c r="H40" s="25"/>
    </row>
    <row r="41" spans="3:10" ht="18">
      <c r="C41" s="55" t="s">
        <v>186</v>
      </c>
      <c r="D41" s="55"/>
      <c r="E41" s="55"/>
      <c r="F41" s="25"/>
      <c r="G41" s="25"/>
      <c r="H41" s="25"/>
    </row>
    <row r="42" spans="3:10" ht="18">
      <c r="C42" s="58"/>
      <c r="D42" s="58"/>
      <c r="E42" s="58"/>
      <c r="F42" s="25"/>
      <c r="G42" s="25"/>
      <c r="H42" s="25"/>
    </row>
    <row r="43" spans="3:10" ht="18">
      <c r="C43" s="55" t="s">
        <v>187</v>
      </c>
      <c r="D43" s="55"/>
      <c r="E43" s="55"/>
      <c r="F43" s="55"/>
      <c r="G43" s="55"/>
      <c r="H43" s="25"/>
    </row>
  </sheetData>
  <dataValidations count="1">
    <dataValidation type="whole" allowBlank="1" showInputMessage="1" showErrorMessage="1" errorTitle="error" error="&quot;invalid input! The Quantitty Must be a Whole number between 1 and 10&quot;" promptTitle="input alert" prompt="Please enter a whole number between 1 and 10" sqref="G9:G17 N22:N30" xr:uid="{9C0D3459-07AD-4545-B89F-7A41CDECFC61}">
      <formula1>1</formula1>
      <formula2>10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32AE9-B02F-40AE-B818-4859D23FDF52}">
  <dimension ref="A2:L48"/>
  <sheetViews>
    <sheetView topLeftCell="A41" workbookViewId="0">
      <selection activeCell="D62" sqref="D62"/>
    </sheetView>
  </sheetViews>
  <sheetFormatPr defaultRowHeight="14.4"/>
  <cols>
    <col min="2" max="2" width="14.5546875" customWidth="1"/>
    <col min="4" max="4" width="23.5546875" bestFit="1" customWidth="1"/>
  </cols>
  <sheetData>
    <row r="2" spans="1:12" ht="21">
      <c r="A2" s="44"/>
      <c r="B2" s="44"/>
      <c r="C2" s="44"/>
      <c r="D2" s="44"/>
      <c r="E2" s="44"/>
      <c r="F2" s="59" t="s">
        <v>188</v>
      </c>
      <c r="G2" s="44"/>
      <c r="H2" s="44"/>
      <c r="I2" s="44"/>
      <c r="J2" s="44"/>
      <c r="K2" s="44"/>
      <c r="L2" s="43"/>
    </row>
    <row r="4" spans="1:12" ht="18">
      <c r="B4" s="60" t="s">
        <v>189</v>
      </c>
      <c r="C4" s="60"/>
      <c r="D4" s="60"/>
      <c r="E4" s="60"/>
      <c r="F4" s="60"/>
      <c r="G4" s="60"/>
      <c r="H4" s="60"/>
      <c r="I4" s="60"/>
      <c r="J4" s="60"/>
      <c r="K4" s="60"/>
      <c r="L4" s="61"/>
    </row>
    <row r="5" spans="1:12" ht="18">
      <c r="B5" s="60" t="s">
        <v>190</v>
      </c>
      <c r="C5" s="60"/>
      <c r="D5" s="60"/>
      <c r="E5" s="60"/>
      <c r="F5" s="60"/>
      <c r="G5" s="60"/>
      <c r="H5" s="60"/>
      <c r="I5" s="60"/>
      <c r="J5" s="60"/>
      <c r="K5" s="60"/>
      <c r="L5" s="61"/>
    </row>
    <row r="6" spans="1:12" ht="18">
      <c r="B6" s="60" t="s">
        <v>191</v>
      </c>
      <c r="C6" s="60"/>
      <c r="D6" s="60"/>
      <c r="E6" s="60"/>
      <c r="F6" s="60"/>
      <c r="G6" s="60"/>
      <c r="H6" s="60"/>
      <c r="I6" s="60"/>
      <c r="J6" s="60"/>
      <c r="K6" s="60"/>
      <c r="L6" s="61"/>
    </row>
    <row r="7" spans="1:12" ht="18">
      <c r="B7" s="60" t="s">
        <v>192</v>
      </c>
      <c r="C7" s="60"/>
      <c r="D7" s="60"/>
      <c r="E7" s="60"/>
      <c r="F7" s="60"/>
      <c r="G7" s="60"/>
      <c r="H7" s="60"/>
      <c r="I7" s="60"/>
      <c r="J7" s="60"/>
      <c r="K7" s="60"/>
      <c r="L7" s="61"/>
    </row>
    <row r="8" spans="1:12" ht="18">
      <c r="B8" s="60" t="s">
        <v>193</v>
      </c>
      <c r="C8" s="60"/>
      <c r="D8" s="60"/>
      <c r="E8" s="60"/>
      <c r="F8" s="60"/>
      <c r="G8" s="60"/>
      <c r="H8" s="60"/>
      <c r="I8" s="60"/>
      <c r="J8" s="60"/>
      <c r="K8" s="60"/>
      <c r="L8" s="61"/>
    </row>
    <row r="11" spans="1:12" ht="23.4">
      <c r="A11" s="62" t="s">
        <v>170</v>
      </c>
      <c r="B11" s="23" t="s">
        <v>194</v>
      </c>
      <c r="C11" s="23"/>
      <c r="D11" s="23"/>
      <c r="E11" s="23"/>
      <c r="F11" s="23"/>
      <c r="G11" s="23"/>
      <c r="H11" s="23"/>
      <c r="I11" s="24"/>
      <c r="J11" s="24"/>
      <c r="K11" s="24"/>
      <c r="L11" s="24"/>
    </row>
    <row r="12" spans="1:12" ht="21">
      <c r="B12" s="63"/>
      <c r="C12" s="63"/>
      <c r="D12" s="63"/>
      <c r="E12" s="63"/>
      <c r="F12" s="63"/>
      <c r="G12" s="63"/>
      <c r="H12" s="63"/>
    </row>
    <row r="13" spans="1:12" ht="21">
      <c r="B13" s="64" t="s">
        <v>195</v>
      </c>
      <c r="C13" s="63" t="s">
        <v>210</v>
      </c>
      <c r="D13" s="63" t="s">
        <v>203</v>
      </c>
      <c r="E13" s="63"/>
      <c r="F13" s="63" t="s">
        <v>196</v>
      </c>
      <c r="G13" s="63"/>
      <c r="H13" s="63"/>
    </row>
    <row r="14" spans="1:12" ht="21">
      <c r="B14" s="63"/>
      <c r="C14" s="63"/>
      <c r="D14" s="63" t="str">
        <f>LEFT(D13,5)</f>
        <v>Excel</v>
      </c>
      <c r="E14" s="63"/>
      <c r="F14" s="63"/>
      <c r="G14" s="63"/>
      <c r="H14" s="63"/>
    </row>
    <row r="15" spans="1:12" ht="21">
      <c r="B15" s="63"/>
      <c r="C15" s="63"/>
      <c r="D15" s="63"/>
      <c r="E15" s="63"/>
      <c r="F15" s="63"/>
      <c r="G15" s="63"/>
      <c r="H15" s="63"/>
    </row>
    <row r="16" spans="1:12" ht="15.6">
      <c r="C16" s="65" t="s">
        <v>209</v>
      </c>
      <c r="D16" s="65"/>
      <c r="E16" s="22"/>
      <c r="F16" s="22"/>
      <c r="G16" s="22"/>
      <c r="H16" s="22"/>
    </row>
    <row r="17" spans="2:11" ht="15.6">
      <c r="C17" s="22"/>
      <c r="D17" s="22"/>
      <c r="E17" s="22"/>
      <c r="F17" s="22"/>
      <c r="G17" s="22"/>
      <c r="H17" s="22"/>
    </row>
    <row r="19" spans="2:11" ht="21">
      <c r="B19" s="23" t="s">
        <v>197</v>
      </c>
      <c r="C19" s="23"/>
      <c r="D19" s="23"/>
      <c r="E19" s="23"/>
      <c r="F19" s="23"/>
      <c r="G19" s="23"/>
      <c r="H19" s="23"/>
      <c r="I19" s="24"/>
    </row>
    <row r="20" spans="2:11" ht="18">
      <c r="B20" s="25"/>
      <c r="C20" s="25" t="s">
        <v>198</v>
      </c>
      <c r="D20" s="25" t="s">
        <v>199</v>
      </c>
    </row>
    <row r="21" spans="2:11" ht="18">
      <c r="B21" s="25"/>
      <c r="C21" s="25"/>
      <c r="D21" s="25"/>
    </row>
    <row r="22" spans="2:11" ht="21">
      <c r="B22" s="64" t="s">
        <v>200</v>
      </c>
      <c r="D22" s="25" t="str">
        <f>RIGHT(D20,4)</f>
        <v>xlsx</v>
      </c>
    </row>
    <row r="24" spans="2:11" ht="18">
      <c r="C24" s="66" t="s">
        <v>211</v>
      </c>
      <c r="D24" s="66"/>
    </row>
    <row r="27" spans="2:11" ht="21">
      <c r="B27" s="23" t="s">
        <v>201</v>
      </c>
      <c r="C27" s="23"/>
      <c r="D27" s="23"/>
      <c r="E27" s="23"/>
      <c r="F27" s="23"/>
      <c r="G27" s="23"/>
      <c r="H27" s="23"/>
      <c r="I27" s="23"/>
      <c r="J27" s="23"/>
      <c r="K27" s="23"/>
    </row>
    <row r="28" spans="2:11" ht="18">
      <c r="C28" s="25" t="s">
        <v>202</v>
      </c>
      <c r="D28" s="25" t="s">
        <v>203</v>
      </c>
    </row>
    <row r="31" spans="2:11" ht="21">
      <c r="B31" s="64" t="s">
        <v>195</v>
      </c>
      <c r="D31" s="25" t="str">
        <f>MID(D28,6,4)</f>
        <v>Tips</v>
      </c>
      <c r="E31" s="25"/>
    </row>
    <row r="33" spans="2:12" ht="18">
      <c r="C33" s="66" t="s">
        <v>212</v>
      </c>
      <c r="D33" s="66"/>
    </row>
    <row r="35" spans="2:12" ht="21">
      <c r="B35" s="23" t="s">
        <v>204</v>
      </c>
      <c r="C35" s="23"/>
      <c r="D35" s="23"/>
      <c r="E35" s="23"/>
      <c r="F35" s="23"/>
      <c r="G35" s="23"/>
      <c r="H35" s="23"/>
      <c r="I35" s="23"/>
      <c r="J35" s="23"/>
      <c r="K35" s="23"/>
      <c r="L35" s="23"/>
    </row>
    <row r="36" spans="2:12" ht="15.6">
      <c r="C36" s="22" t="s">
        <v>198</v>
      </c>
      <c r="D36" s="22" t="s">
        <v>205</v>
      </c>
    </row>
    <row r="38" spans="2:12" ht="21">
      <c r="B38" s="64" t="s">
        <v>206</v>
      </c>
      <c r="D38" s="66">
        <f>LEN(D36)</f>
        <v>12</v>
      </c>
    </row>
    <row r="39" spans="2:12">
      <c r="D39" s="67"/>
    </row>
    <row r="40" spans="2:12">
      <c r="C40" s="69" t="s">
        <v>213</v>
      </c>
      <c r="D40" s="69"/>
    </row>
    <row r="42" spans="2:12" ht="21">
      <c r="B42" s="23" t="s">
        <v>207</v>
      </c>
      <c r="C42" s="23"/>
      <c r="D42" s="23"/>
      <c r="E42" s="23"/>
      <c r="F42" s="23"/>
      <c r="G42" s="23"/>
      <c r="H42" s="23"/>
      <c r="I42" s="23"/>
      <c r="J42" s="23"/>
    </row>
    <row r="44" spans="2:12" ht="18">
      <c r="C44" s="68" t="s">
        <v>208</v>
      </c>
    </row>
    <row r="46" spans="2:12" ht="21">
      <c r="B46" s="64" t="s">
        <v>195</v>
      </c>
      <c r="D46" s="66" t="str">
        <f>MID(C44,7,5)</f>
        <v>67890</v>
      </c>
    </row>
    <row r="48" spans="2:12">
      <c r="B48" s="70"/>
      <c r="C48" s="70" t="s">
        <v>214</v>
      </c>
      <c r="D48" s="7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3F3A-21B1-4BA5-9224-8E2B2D608A66}">
  <dimension ref="B2:N51"/>
  <sheetViews>
    <sheetView topLeftCell="A23" workbookViewId="0">
      <selection activeCell="G44" sqref="G44"/>
    </sheetView>
  </sheetViews>
  <sheetFormatPr defaultRowHeight="14.4"/>
  <cols>
    <col min="4" max="4" width="16.6640625" customWidth="1"/>
    <col min="5" max="5" width="12.5546875" customWidth="1"/>
    <col min="6" max="6" width="17.77734375" customWidth="1"/>
    <col min="7" max="7" width="30.21875" bestFit="1" customWidth="1"/>
    <col min="8" max="8" width="22.109375" customWidth="1"/>
  </cols>
  <sheetData>
    <row r="2" spans="2:14" ht="21">
      <c r="B2" s="44" t="s">
        <v>215</v>
      </c>
      <c r="C2" s="44"/>
      <c r="D2" s="44"/>
      <c r="E2" s="44"/>
      <c r="F2" s="44"/>
      <c r="G2" s="44"/>
      <c r="H2" s="44"/>
      <c r="I2" s="44"/>
      <c r="J2" s="43"/>
      <c r="K2" s="43"/>
      <c r="L2" s="43"/>
      <c r="M2" s="43"/>
    </row>
    <row r="4" spans="2:14" ht="15.6">
      <c r="C4" s="40" t="s">
        <v>216</v>
      </c>
      <c r="D4" s="40"/>
      <c r="E4" s="40"/>
      <c r="F4" s="40"/>
      <c r="G4" s="40"/>
      <c r="H4" s="40"/>
      <c r="I4" s="40"/>
      <c r="J4" s="40"/>
      <c r="K4" s="40"/>
      <c r="L4" s="40"/>
      <c r="M4" s="40"/>
      <c r="N4" s="71"/>
    </row>
    <row r="5" spans="2:14" ht="15.6">
      <c r="C5" s="40" t="s">
        <v>217</v>
      </c>
      <c r="D5" s="40"/>
      <c r="E5" s="40"/>
      <c r="F5" s="40"/>
      <c r="G5" s="40"/>
      <c r="H5" s="40"/>
      <c r="I5" s="40"/>
      <c r="J5" s="40"/>
      <c r="K5" s="40"/>
      <c r="L5" s="40"/>
      <c r="M5" s="40"/>
      <c r="N5" s="71"/>
    </row>
    <row r="6" spans="2:14" ht="15.6">
      <c r="C6" s="40" t="s">
        <v>218</v>
      </c>
      <c r="D6" s="40"/>
      <c r="E6" s="40"/>
      <c r="F6" s="40"/>
      <c r="G6" s="40"/>
      <c r="H6" s="40"/>
      <c r="I6" s="40"/>
      <c r="J6" s="40"/>
      <c r="K6" s="40"/>
      <c r="L6" s="40"/>
      <c r="M6" s="40"/>
      <c r="N6" s="71"/>
    </row>
    <row r="7" spans="2:14" ht="15.6">
      <c r="C7" s="40" t="s">
        <v>219</v>
      </c>
      <c r="D7" s="40"/>
      <c r="E7" s="40"/>
      <c r="F7" s="40"/>
      <c r="G7" s="40"/>
      <c r="H7" s="40"/>
      <c r="I7" s="40"/>
      <c r="J7" s="40"/>
      <c r="K7" s="40"/>
      <c r="L7" s="40"/>
      <c r="M7" s="40"/>
      <c r="N7" s="71"/>
    </row>
    <row r="8" spans="2:14" ht="15.6">
      <c r="C8" s="40" t="s">
        <v>220</v>
      </c>
      <c r="D8" s="40"/>
      <c r="E8" s="40"/>
      <c r="F8" s="40"/>
      <c r="G8" s="40"/>
      <c r="H8" s="40"/>
      <c r="I8" s="40"/>
      <c r="J8" s="40"/>
      <c r="K8" s="40"/>
      <c r="L8" s="40"/>
      <c r="M8" s="40"/>
      <c r="N8" s="71"/>
    </row>
    <row r="12" spans="2:14" ht="21">
      <c r="B12" s="39" t="s">
        <v>66</v>
      </c>
      <c r="C12" s="72" t="s">
        <v>221</v>
      </c>
      <c r="D12" s="73"/>
      <c r="E12" s="73"/>
      <c r="F12" s="73"/>
      <c r="G12" s="73"/>
      <c r="H12" s="3"/>
    </row>
    <row r="14" spans="2:14" ht="15.6">
      <c r="D14" s="74" t="s">
        <v>222</v>
      </c>
      <c r="E14" s="74" t="s">
        <v>223</v>
      </c>
      <c r="F14" s="22"/>
      <c r="G14" s="65" t="str">
        <f>_xlfn.CONCAT(D14," ",E14)</f>
        <v>Hello World</v>
      </c>
    </row>
    <row r="15" spans="2:14" ht="15.6">
      <c r="D15" s="22"/>
      <c r="E15" s="22"/>
      <c r="F15" s="22"/>
      <c r="G15" s="22"/>
    </row>
    <row r="16" spans="2:14" ht="15.6">
      <c r="D16" s="75" t="s">
        <v>224</v>
      </c>
      <c r="E16" s="75"/>
      <c r="F16" s="75"/>
      <c r="G16" s="22"/>
    </row>
    <row r="18" spans="3:10" ht="15.6">
      <c r="C18" s="72" t="s">
        <v>225</v>
      </c>
      <c r="D18" s="73"/>
      <c r="E18" s="73"/>
      <c r="F18" s="73"/>
      <c r="G18" s="73"/>
      <c r="H18" s="72"/>
    </row>
    <row r="19" spans="3:10" ht="15.6">
      <c r="C19" s="72"/>
      <c r="D19" s="73"/>
      <c r="E19" s="73"/>
      <c r="F19" s="73"/>
      <c r="G19" s="73"/>
      <c r="H19" s="72"/>
    </row>
    <row r="21" spans="3:10" ht="15.6">
      <c r="D21" s="74" t="s">
        <v>226</v>
      </c>
      <c r="E21" s="74" t="s">
        <v>227</v>
      </c>
      <c r="F21" s="74" t="s">
        <v>228</v>
      </c>
      <c r="G21" s="65" t="str">
        <f>_xlfn.TEXTJOIN(" ,",TRUE,D21:F21)</f>
        <v>Apple ,Banana  ,Cherry</v>
      </c>
      <c r="H21" s="74"/>
    </row>
    <row r="22" spans="3:10" ht="15.6">
      <c r="D22" s="22"/>
      <c r="E22" s="22"/>
      <c r="F22" s="22"/>
      <c r="G22" s="22"/>
      <c r="H22" s="22"/>
    </row>
    <row r="23" spans="3:10" ht="15.6">
      <c r="D23" s="22"/>
      <c r="E23" s="22"/>
      <c r="F23" s="22"/>
      <c r="G23" s="22"/>
      <c r="H23" s="22"/>
    </row>
    <row r="24" spans="3:10" ht="15.6">
      <c r="D24" s="22"/>
      <c r="E24" s="75" t="s">
        <v>229</v>
      </c>
      <c r="F24" s="75"/>
      <c r="G24" s="75"/>
      <c r="H24" s="22"/>
    </row>
    <row r="27" spans="3:10" ht="15.6">
      <c r="C27" s="72" t="s">
        <v>230</v>
      </c>
      <c r="D27" s="72"/>
      <c r="E27" s="72"/>
      <c r="F27" s="72"/>
      <c r="G27" s="72"/>
      <c r="H27" s="72"/>
      <c r="I27" s="72"/>
      <c r="J27" s="72"/>
    </row>
    <row r="28" spans="3:10" ht="15.6">
      <c r="D28" s="22"/>
      <c r="E28" s="22"/>
      <c r="F28" s="22"/>
      <c r="G28" s="22"/>
      <c r="H28" s="22"/>
    </row>
    <row r="29" spans="3:10" ht="15.6">
      <c r="D29" s="22"/>
      <c r="E29" s="76">
        <v>2025</v>
      </c>
      <c r="F29" s="74" t="s">
        <v>231</v>
      </c>
      <c r="G29" s="65" t="str">
        <f>E29&amp;":"&amp;F29</f>
        <v>2025:Excel Functions</v>
      </c>
      <c r="H29" s="22"/>
    </row>
    <row r="30" spans="3:10" ht="15.6">
      <c r="D30" s="22"/>
      <c r="E30" s="22"/>
      <c r="F30" s="22"/>
      <c r="G30" s="22"/>
      <c r="H30" s="22"/>
    </row>
    <row r="31" spans="3:10" ht="15.6">
      <c r="D31" s="22"/>
      <c r="E31" s="22"/>
      <c r="F31" s="22"/>
      <c r="G31" s="22"/>
      <c r="H31" s="22"/>
    </row>
    <row r="32" spans="3:10" ht="15.6">
      <c r="D32" s="22"/>
      <c r="E32" s="22"/>
      <c r="F32" s="75" t="s">
        <v>232</v>
      </c>
      <c r="G32" s="75"/>
      <c r="H32" s="22"/>
    </row>
    <row r="33" spans="3:10" ht="15.6">
      <c r="D33" s="22"/>
      <c r="E33" s="22"/>
      <c r="F33" s="22"/>
      <c r="G33" s="22"/>
      <c r="H33" s="22"/>
    </row>
    <row r="34" spans="3:10" ht="15.6">
      <c r="D34" s="22"/>
      <c r="E34" s="22"/>
      <c r="F34" s="22"/>
      <c r="G34" s="22"/>
      <c r="H34" s="22"/>
    </row>
    <row r="35" spans="3:10" ht="15.6">
      <c r="C35" s="72" t="s">
        <v>233</v>
      </c>
      <c r="D35" s="72"/>
      <c r="E35" s="72"/>
      <c r="F35" s="72"/>
      <c r="G35" s="72"/>
      <c r="H35" s="72"/>
      <c r="I35" s="72"/>
      <c r="J35" s="72"/>
    </row>
    <row r="36" spans="3:10" ht="15" thickBot="1"/>
    <row r="37" spans="3:10" ht="15.6">
      <c r="E37" s="77" t="s">
        <v>234</v>
      </c>
      <c r="F37" s="22"/>
      <c r="G37" s="22"/>
    </row>
    <row r="38" spans="3:10" ht="15.6">
      <c r="E38" s="78" t="s">
        <v>235</v>
      </c>
      <c r="F38" s="22"/>
      <c r="G38" s="79" t="str">
        <f>_xlfn.TEXTJOIN(",",TRUE,E37:E41)</f>
        <v>Alice,Tonya,Porsha,Rave,Engris</v>
      </c>
    </row>
    <row r="39" spans="3:10" ht="15.6">
      <c r="E39" s="78" t="s">
        <v>236</v>
      </c>
      <c r="F39" s="22"/>
      <c r="G39" s="22"/>
    </row>
    <row r="40" spans="3:10" ht="15.6">
      <c r="E40" s="78" t="s">
        <v>237</v>
      </c>
      <c r="F40" s="22"/>
      <c r="G40" s="22"/>
    </row>
    <row r="41" spans="3:10" ht="16.2" thickBot="1">
      <c r="E41" s="80" t="s">
        <v>238</v>
      </c>
      <c r="F41" s="22"/>
      <c r="G41" s="22"/>
    </row>
    <row r="42" spans="3:10" ht="15.6">
      <c r="E42" s="22"/>
      <c r="F42" s="22"/>
      <c r="G42" s="22"/>
    </row>
    <row r="43" spans="3:10">
      <c r="F43" s="75" t="s">
        <v>239</v>
      </c>
      <c r="G43" s="75"/>
    </row>
    <row r="46" spans="3:10" ht="15.6">
      <c r="C46" s="72" t="s">
        <v>240</v>
      </c>
      <c r="D46" s="72"/>
      <c r="E46" s="72"/>
      <c r="F46" s="72"/>
      <c r="G46" s="72"/>
      <c r="H46" s="72"/>
    </row>
    <row r="48" spans="3:10">
      <c r="D48" s="81" t="s">
        <v>241</v>
      </c>
      <c r="E48" s="81" t="s">
        <v>242</v>
      </c>
      <c r="F48" s="81" t="s">
        <v>243</v>
      </c>
      <c r="G48" s="83" t="s">
        <v>252</v>
      </c>
    </row>
    <row r="49" spans="4:7">
      <c r="D49" s="82" t="s">
        <v>244</v>
      </c>
      <c r="E49" s="82" t="s">
        <v>245</v>
      </c>
      <c r="F49" s="82" t="str">
        <f>_xlfn.CONCAT(D49," ",E49)</f>
        <v>Aman Kumar</v>
      </c>
      <c r="G49" s="70" t="s">
        <v>249</v>
      </c>
    </row>
    <row r="50" spans="4:7">
      <c r="D50" s="82" t="s">
        <v>234</v>
      </c>
      <c r="E50" s="82" t="s">
        <v>246</v>
      </c>
      <c r="F50" s="82" t="str">
        <f t="shared" ref="F50:F51" si="0">_xlfn.CONCAT(D50," ",E50)</f>
        <v>Alice Watson</v>
      </c>
      <c r="G50" s="70" t="s">
        <v>250</v>
      </c>
    </row>
    <row r="51" spans="4:7">
      <c r="D51" s="82" t="s">
        <v>247</v>
      </c>
      <c r="E51" s="82" t="s">
        <v>248</v>
      </c>
      <c r="F51" s="82" t="str">
        <f t="shared" si="0"/>
        <v>Nobu Naga</v>
      </c>
      <c r="G51" s="70" t="s">
        <v>251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FDC8C-96D3-4811-B833-3650939BEB0B}">
  <dimension ref="B2:U57"/>
  <sheetViews>
    <sheetView tabSelected="1" topLeftCell="A46" workbookViewId="0">
      <selection activeCell="H67" sqref="H67"/>
    </sheetView>
  </sheetViews>
  <sheetFormatPr defaultRowHeight="14.4"/>
  <cols>
    <col min="2" max="2" width="15.44140625" bestFit="1" customWidth="1"/>
    <col min="3" max="3" width="10.33203125" bestFit="1" customWidth="1"/>
    <col min="4" max="4" width="18.6640625" bestFit="1" customWidth="1"/>
    <col min="5" max="5" width="15.88671875" customWidth="1"/>
    <col min="6" max="6" width="21.33203125" bestFit="1" customWidth="1"/>
    <col min="8" max="8" width="11.77734375" customWidth="1"/>
  </cols>
  <sheetData>
    <row r="2" spans="2:14" ht="18">
      <c r="B2" s="84" t="s">
        <v>253</v>
      </c>
      <c r="C2" s="84"/>
      <c r="D2" s="84"/>
      <c r="E2" s="85"/>
    </row>
    <row r="3" spans="2:14" ht="15.6">
      <c r="B3" s="48" t="s">
        <v>254</v>
      </c>
      <c r="C3" s="48"/>
      <c r="D3" s="48"/>
      <c r="E3" s="48"/>
      <c r="F3" s="48"/>
      <c r="G3" s="48"/>
      <c r="H3" s="48"/>
      <c r="I3" s="48"/>
      <c r="J3" s="48"/>
      <c r="K3" s="48"/>
      <c r="L3" s="48"/>
      <c r="M3" s="43"/>
      <c r="N3" s="43"/>
    </row>
    <row r="4" spans="2:14" ht="15.6">
      <c r="B4" s="48" t="s">
        <v>255</v>
      </c>
      <c r="C4" s="48"/>
      <c r="D4" s="48"/>
      <c r="E4" s="48"/>
      <c r="F4" s="48"/>
      <c r="G4" s="48"/>
      <c r="H4" s="48"/>
      <c r="I4" s="48"/>
      <c r="J4" s="48"/>
      <c r="K4" s="48"/>
      <c r="L4" s="48"/>
      <c r="M4" s="43"/>
      <c r="N4" s="43"/>
    </row>
    <row r="5" spans="2:14" ht="15.6">
      <c r="B5" s="48" t="s">
        <v>256</v>
      </c>
      <c r="C5" s="48"/>
      <c r="D5" s="48"/>
      <c r="E5" s="48"/>
      <c r="F5" s="48"/>
      <c r="G5" s="48"/>
      <c r="H5" s="48"/>
      <c r="I5" s="48"/>
      <c r="J5" s="48"/>
      <c r="K5" s="48"/>
      <c r="L5" s="48"/>
      <c r="M5" s="43"/>
      <c r="N5" s="43"/>
    </row>
    <row r="6" spans="2:14" ht="15.6">
      <c r="B6" s="48" t="s">
        <v>257</v>
      </c>
      <c r="C6" s="48"/>
      <c r="D6" s="48"/>
      <c r="E6" s="48"/>
      <c r="F6" s="48"/>
      <c r="G6" s="48"/>
      <c r="H6" s="48"/>
      <c r="I6" s="48"/>
      <c r="J6" s="48"/>
      <c r="K6" s="48"/>
      <c r="L6" s="48"/>
      <c r="M6" s="43"/>
      <c r="N6" s="43"/>
    </row>
    <row r="7" spans="2:14" ht="15.6">
      <c r="B7" s="48" t="s">
        <v>258</v>
      </c>
      <c r="C7" s="48"/>
      <c r="D7" s="48"/>
      <c r="E7" s="48"/>
      <c r="F7" s="48"/>
      <c r="G7" s="48"/>
      <c r="H7" s="48"/>
      <c r="I7" s="48"/>
      <c r="J7" s="48"/>
      <c r="K7" s="48"/>
      <c r="L7" s="48"/>
      <c r="M7" s="43"/>
      <c r="N7" s="43"/>
    </row>
    <row r="10" spans="2:14">
      <c r="B10" s="86"/>
      <c r="C10" s="87"/>
    </row>
    <row r="11" spans="2:14" ht="21">
      <c r="B11" s="88" t="s">
        <v>14</v>
      </c>
      <c r="C11" s="89" t="s">
        <v>254</v>
      </c>
      <c r="D11" s="90"/>
      <c r="E11" s="90"/>
      <c r="F11" s="90"/>
      <c r="G11" s="90"/>
      <c r="H11" s="90"/>
      <c r="I11" s="90"/>
      <c r="J11" s="90"/>
      <c r="K11" s="90"/>
      <c r="L11" s="90"/>
    </row>
    <row r="12" spans="2:14" ht="18">
      <c r="C12" s="91" t="s">
        <v>259</v>
      </c>
      <c r="D12" t="s">
        <v>260</v>
      </c>
    </row>
    <row r="13" spans="2:14">
      <c r="D13" t="s">
        <v>261</v>
      </c>
    </row>
    <row r="14" spans="2:14">
      <c r="D14" t="s">
        <v>262</v>
      </c>
    </row>
    <row r="15" spans="2:14">
      <c r="C15" t="s">
        <v>263</v>
      </c>
      <c r="D15" s="87">
        <f ca="1">TODAY()</f>
        <v>46037</v>
      </c>
      <c r="E15" t="s">
        <v>283</v>
      </c>
    </row>
    <row r="16" spans="2:14">
      <c r="C16" t="s">
        <v>264</v>
      </c>
      <c r="D16" t="s">
        <v>265</v>
      </c>
    </row>
    <row r="17" spans="3:5">
      <c r="E17" t="s">
        <v>266</v>
      </c>
    </row>
    <row r="19" spans="3:5">
      <c r="D19" t="s">
        <v>267</v>
      </c>
    </row>
    <row r="23" spans="3:5" ht="18">
      <c r="C23" s="91" t="s">
        <v>268</v>
      </c>
      <c r="D23" t="s">
        <v>269</v>
      </c>
    </row>
    <row r="24" spans="3:5">
      <c r="D24" t="s">
        <v>270</v>
      </c>
    </row>
    <row r="26" spans="3:5">
      <c r="C26" t="s">
        <v>263</v>
      </c>
      <c r="D26" s="86">
        <f ca="1">NOW()</f>
        <v>46037.943960648146</v>
      </c>
    </row>
    <row r="27" spans="3:5">
      <c r="C27" t="s">
        <v>271</v>
      </c>
      <c r="D27" t="s">
        <v>272</v>
      </c>
    </row>
    <row r="28" spans="3:5">
      <c r="D28" t="s">
        <v>273</v>
      </c>
    </row>
    <row r="29" spans="3:5">
      <c r="D29" t="s">
        <v>274</v>
      </c>
    </row>
    <row r="30" spans="3:5">
      <c r="D30" t="s">
        <v>275</v>
      </c>
    </row>
    <row r="34" spans="3:12">
      <c r="C34" s="70" t="s">
        <v>276</v>
      </c>
      <c r="D34" s="70"/>
      <c r="E34" s="70"/>
      <c r="F34" s="70"/>
      <c r="G34" s="70"/>
      <c r="H34" s="70"/>
      <c r="I34" s="70"/>
      <c r="J34" s="70"/>
      <c r="K34" s="70"/>
    </row>
    <row r="38" spans="3:12">
      <c r="C38" s="89" t="s">
        <v>277</v>
      </c>
      <c r="D38" s="90"/>
      <c r="E38" s="90"/>
      <c r="F38" s="90"/>
      <c r="G38" s="90"/>
      <c r="H38" s="90"/>
      <c r="I38" s="90"/>
      <c r="J38" s="90"/>
      <c r="K38" s="90"/>
      <c r="L38" s="90"/>
    </row>
    <row r="40" spans="3:12">
      <c r="F40" s="87">
        <v>46037</v>
      </c>
    </row>
    <row r="41" spans="3:12">
      <c r="D41" s="92">
        <v>45818</v>
      </c>
      <c r="E41" s="87"/>
      <c r="F41" s="92" t="s">
        <v>284</v>
      </c>
      <c r="H41" s="87">
        <f ca="1">D41-TODAY()</f>
        <v>-219</v>
      </c>
    </row>
    <row r="44" spans="3:12">
      <c r="C44" s="89" t="s">
        <v>278</v>
      </c>
      <c r="D44" s="90"/>
      <c r="E44" s="90"/>
      <c r="F44" s="90"/>
      <c r="G44" s="90"/>
      <c r="H44" s="90"/>
      <c r="I44" s="90"/>
      <c r="J44" s="90"/>
      <c r="K44" s="90"/>
      <c r="L44" s="90"/>
    </row>
    <row r="46" spans="3:12">
      <c r="D46" s="93">
        <f ca="1">NOW()</f>
        <v>46037.943960648146</v>
      </c>
    </row>
    <row r="49" spans="3:21">
      <c r="C49" s="89" t="s">
        <v>279</v>
      </c>
      <c r="D49" s="90"/>
      <c r="E49" s="90"/>
      <c r="F49" s="90"/>
      <c r="G49" s="90"/>
      <c r="H49" s="90"/>
      <c r="I49" s="90"/>
      <c r="J49" s="90"/>
      <c r="K49" s="90"/>
      <c r="L49" s="90"/>
    </row>
    <row r="51" spans="3:21" ht="15.6">
      <c r="D51" s="65" t="s">
        <v>280</v>
      </c>
      <c r="E51" s="65"/>
      <c r="F51" s="65"/>
      <c r="G51" s="65"/>
      <c r="H51" s="65"/>
      <c r="I51" s="65"/>
      <c r="J51" s="65"/>
      <c r="K51" s="65"/>
      <c r="L51" s="65"/>
      <c r="M51" s="65"/>
      <c r="N51" s="65"/>
      <c r="O51" s="65"/>
      <c r="P51" s="65"/>
      <c r="Q51" s="65"/>
      <c r="R51" s="65"/>
      <c r="S51" s="65"/>
      <c r="T51" s="65"/>
      <c r="U51" s="65"/>
    </row>
    <row r="54" spans="3:21">
      <c r="J54" s="94"/>
    </row>
    <row r="55" spans="3:21">
      <c r="C55" s="89" t="s">
        <v>281</v>
      </c>
      <c r="D55" s="90"/>
      <c r="E55" s="90"/>
      <c r="F55" s="90"/>
      <c r="G55" s="90"/>
      <c r="H55" s="90"/>
      <c r="I55" s="90"/>
      <c r="J55" s="90"/>
      <c r="K55" s="90"/>
      <c r="L55" s="90"/>
    </row>
    <row r="57" spans="3:21" ht="15.6">
      <c r="D57" s="65" t="s">
        <v>282</v>
      </c>
      <c r="E57" s="65"/>
      <c r="F57" s="65"/>
      <c r="G57" s="65"/>
      <c r="H57" s="65"/>
      <c r="I57" s="65"/>
      <c r="J57" s="65"/>
      <c r="K57" s="65"/>
      <c r="L57"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 </vt:lpstr>
      <vt:lpstr>Question 2</vt:lpstr>
      <vt:lpstr>Question 3</vt:lpstr>
      <vt:lpstr>Question 4</vt:lpstr>
      <vt:lpstr>Question 5</vt:lpstr>
      <vt:lpstr>Question 6</vt:lpstr>
      <vt:lpstr>QUESTION 7</vt:lpstr>
      <vt:lpstr>QUESTION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Prem Gupta</cp:lastModifiedBy>
  <dcterms:created xsi:type="dcterms:W3CDTF">2015-06-05T18:17:20Z</dcterms:created>
  <dcterms:modified xsi:type="dcterms:W3CDTF">2026-01-15T17:09:46Z</dcterms:modified>
</cp:coreProperties>
</file>